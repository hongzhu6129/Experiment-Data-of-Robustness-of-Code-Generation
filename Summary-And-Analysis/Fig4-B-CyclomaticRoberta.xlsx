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CFA1064F-A224-A045-A5E8-69E739BE4349}" xr6:coauthVersionLast="47" xr6:coauthVersionMax="47" xr10:uidLastSave="{00000000-0000-0000-0000-000000000000}"/>
  <bookViews>
    <workbookView xWindow="59840" yWindow="4140" windowWidth="29880" windowHeight="17080" xr2:uid="{B35ED847-B655-480D-A504-98C4318EF1AD}"/>
  </bookViews>
  <sheets>
    <sheet name="CyclomaticAveragesGeminiPro" sheetId="1" r:id="rId1"/>
  </sheets>
  <definedNames>
    <definedName name="_xlnm.Print_Area" localSheetId="0">CyclomaticAveragesGeminiPro!$G$1:$N$15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B8" i="1"/>
</calcChain>
</file>

<file path=xl/sharedStrings.xml><?xml version="1.0" encoding="utf-8"?>
<sst xmlns="http://schemas.openxmlformats.org/spreadsheetml/2006/main" count="6" uniqueCount="6">
  <si>
    <t>GeminiPro</t>
  </si>
  <si>
    <t>Codex</t>
  </si>
  <si>
    <t>Falcon</t>
  </si>
  <si>
    <t>Llama2</t>
  </si>
  <si>
    <t>Cyclomatic Complexity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</si>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</sst>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5968345707181"/>
          <c:y val="5.2066841644794401E-2"/>
          <c:w val="0.87556390194747602"/>
          <c:h val="0.80287069116360454"/>
        </c:manualLayout>
      </c:layout>
      <c:lineChart>
        <c:grouping val="standard"/>
        <c:varyColors val="0"/>
        <c:ser>
          <c:idx val="1"/>
          <c:order val="1"/>
          <c:tx>
            <c:strRef>
              <c:f>CyclomaticAveragesGeminiPro!$B$1</c:f>
              <c:strCache>
                <c:ptCount val="1"/>
                <c:pt idx="0">
                  <c:v>GeminiPro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F6-F64B-A423-EC97CE122F60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F6-F64B-A423-EC97CE122F60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F6-F64B-A423-EC97CE122F60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F6-F64B-A423-EC97CE122F60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F6-F64B-A423-EC97CE122F6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CyclomaticAveragesGeminiPro!$B$2:$B$7</c:f>
              <c:numCache>
                <c:formatCode>General</c:formatCode>
                <c:ptCount val="6"/>
                <c:pt idx="0">
                  <c:v>0.96442869171437695</c:v>
                </c:pt>
                <c:pt idx="1">
                  <c:v>1.0334226810814899</c:v>
                </c:pt>
                <c:pt idx="2">
                  <c:v>1.0975065593098401</c:v>
                </c:pt>
                <c:pt idx="3">
                  <c:v>1.1659503372461999</c:v>
                </c:pt>
                <c:pt idx="4">
                  <c:v>1.2986432618311401</c:v>
                </c:pt>
                <c:pt idx="5">
                  <c:v>1.3583165649240401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D-4480-8449-6D1451BB344C}"/>
            </c:ext>
          </c:extLst>
        </c:ser>
        <c:ser>
          <c:idx val="2"/>
          <c:order val="2"/>
          <c:tx>
            <c:strRef>
              <c:f>CyclomaticAveragesGeminiPro!$C$1</c:f>
              <c:strCache>
                <c:ptCount val="1"/>
                <c:pt idx="0">
                  <c:v>Codex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F6-F64B-A423-EC97CE122F60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F6-F64B-A423-EC97CE122F6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CyclomaticAveragesGeminiPro!$C$2:$C$7</c:f>
              <c:numCache>
                <c:formatCode>General</c:formatCode>
                <c:ptCount val="6"/>
                <c:pt idx="0">
                  <c:v>1.03744695125612</c:v>
                </c:pt>
                <c:pt idx="1">
                  <c:v>1.0973982817396599</c:v>
                </c:pt>
                <c:pt idx="2">
                  <c:v>1.09169692679702</c:v>
                </c:pt>
                <c:pt idx="3">
                  <c:v>1.18422411561134</c:v>
                </c:pt>
                <c:pt idx="4">
                  <c:v>1.2088758937337101</c:v>
                </c:pt>
                <c:pt idx="5">
                  <c:v>1.3293589424958001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9D-4480-8449-6D1451BB344C}"/>
            </c:ext>
          </c:extLst>
        </c:ser>
        <c:ser>
          <c:idx val="3"/>
          <c:order val="3"/>
          <c:tx>
            <c:strRef>
              <c:f>CyclomaticAveragesGeminiPro!$D$1</c:f>
              <c:strCache>
                <c:ptCount val="1"/>
                <c:pt idx="0">
                  <c:v>Falcon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F6-F64B-A423-EC97CE122F60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F6-F64B-A423-EC97CE122F6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CyclomaticAveragesGeminiPro!$D$2:$D$7</c:f>
              <c:numCache>
                <c:formatCode>General</c:formatCode>
                <c:ptCount val="6"/>
                <c:pt idx="0">
                  <c:v>1.04504426371966</c:v>
                </c:pt>
                <c:pt idx="1">
                  <c:v>1.1002764146772701</c:v>
                </c:pt>
                <c:pt idx="2">
                  <c:v>1.06713742854493</c:v>
                </c:pt>
                <c:pt idx="3">
                  <c:v>1.19565117959587</c:v>
                </c:pt>
                <c:pt idx="4">
                  <c:v>1.3135148112521</c:v>
                </c:pt>
                <c:pt idx="5">
                  <c:v>1.4519052234955301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9D-4480-8449-6D1451BB344C}"/>
            </c:ext>
          </c:extLst>
        </c:ser>
        <c:ser>
          <c:idx val="4"/>
          <c:order val="4"/>
          <c:tx>
            <c:strRef>
              <c:f>CyclomaticAveragesGeminiPro!$E$1</c:f>
              <c:strCache>
                <c:ptCount val="1"/>
                <c:pt idx="0">
                  <c:v>Llama2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F6-F64B-A423-EC97CE122F60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F6-F64B-A423-EC97CE122F6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CyclomaticAveragesGeminiPro!$E$2:$E$7</c:f>
              <c:numCache>
                <c:formatCode>General</c:formatCode>
                <c:ptCount val="6"/>
                <c:pt idx="0">
                  <c:v>1.06240639110105</c:v>
                </c:pt>
                <c:pt idx="1">
                  <c:v>1.11181757047857</c:v>
                </c:pt>
                <c:pt idx="2">
                  <c:v>1.0782954960184701</c:v>
                </c:pt>
                <c:pt idx="3">
                  <c:v>1.1982278128619099</c:v>
                </c:pt>
                <c:pt idx="4">
                  <c:v>1.31575826731595</c:v>
                </c:pt>
                <c:pt idx="5">
                  <c:v>1.3623189823163599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9D-4480-8449-6D1451BB3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788384"/>
        <c:axId val="1257799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CyclomaticAveragesGeminiPro!$A$1</c15:sqref>
                        </c15:formulaRef>
                      </c:ext>
                    </c:extLst>
                    <c:strCache>
                      <c:ptCount val="1"/>
                      <c:pt idx="0">
                        <c:v>Cyclomatic Complexity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CyclomaticAveragesGeminiPro!$A$2:$A$7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79D-4480-8449-6D1451BB344C}"/>
                  </c:ext>
                </c:extLst>
              </c15:ser>
            </c15:filteredLineSeries>
          </c:ext>
        </c:extLst>
      </c:lineChart>
      <c:catAx>
        <c:axId val="1257788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Cyclomatic Complexity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99904"/>
        <c:crosses val="autoZero"/>
        <c:auto val="1"/>
        <c:lblAlgn val="ctr"/>
        <c:lblOffset val="100"/>
        <c:noMultiLvlLbl val="0"/>
      </c:catAx>
      <c:valAx>
        <c:axId val="1257799904"/>
        <c:scaling>
          <c:orientation val="minMax"/>
          <c:max val="1.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</a:t>
                </a:r>
                <a:r>
                  <a:rPr lang="en-GB" baseline="30000"/>
                  <a:t>o</a:t>
                </a:r>
                <a:r>
                  <a:rPr lang="en-GB"/>
                  <a:t> with RoBERTa 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8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605137472570028"/>
          <c:y val="0.10979702537182852"/>
          <c:w val="0.27128149502200644"/>
          <c:h val="0.2813140857392825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0</xdr:row>
      <xdr:rowOff>239981</xdr:rowOff>
    </xdr:from>
    <xdr:to>
      <xdr:col>13</xdr:col>
      <xdr:colOff>228600</xdr:colOff>
      <xdr:row>14</xdr:row>
      <xdr:rowOff>25058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DF50E-67F3-ECE0-C648-A9CD446F3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8E9F-0D03-4134-B2A7-2C800D42D4CB}">
  <dimension ref="A1:E8"/>
  <sheetViews>
    <sheetView tabSelected="1" zoomScale="130" zoomScaleNormal="130" workbookViewId="0">
      <selection activeCell="H18" sqref="H18"/>
    </sheetView>
  </sheetViews>
  <sheetFormatPr baseColWidth="10" defaultColWidth="8.83203125" defaultRowHeight="15" x14ac:dyDescent="0.2"/>
  <cols>
    <col min="1" max="1" width="9.6640625" customWidth="1"/>
  </cols>
  <sheetData>
    <row r="1" spans="1:5" s="1" customFormat="1" ht="48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s="3">
        <v>1</v>
      </c>
      <c r="B2" s="3">
        <v>0.96442869171437695</v>
      </c>
      <c r="C2" s="3">
        <v>1.03744695125612</v>
      </c>
      <c r="D2" s="3">
        <v>1.04504426371966</v>
      </c>
      <c r="E2" s="3">
        <v>1.06240639110105</v>
      </c>
    </row>
    <row r="3" spans="1:5" x14ac:dyDescent="0.2">
      <c r="A3" s="3">
        <v>2</v>
      </c>
      <c r="B3" s="3">
        <v>1.0334226810814899</v>
      </c>
      <c r="C3" s="3">
        <v>1.0973982817396599</v>
      </c>
      <c r="D3" s="3">
        <v>1.1002764146772701</v>
      </c>
      <c r="E3" s="3">
        <v>1.11181757047857</v>
      </c>
    </row>
    <row r="4" spans="1:5" x14ac:dyDescent="0.2">
      <c r="A4" s="3">
        <v>3</v>
      </c>
      <c r="B4" s="3">
        <v>1.0975065593098401</v>
      </c>
      <c r="C4" s="3">
        <v>1.09169692679702</v>
      </c>
      <c r="D4" s="3">
        <v>1.06713742854493</v>
      </c>
      <c r="E4" s="3">
        <v>1.0782954960184701</v>
      </c>
    </row>
    <row r="5" spans="1:5" x14ac:dyDescent="0.2">
      <c r="A5" s="3">
        <v>4</v>
      </c>
      <c r="B5" s="3">
        <v>1.1659503372461999</v>
      </c>
      <c r="C5" s="3">
        <v>1.18422411561134</v>
      </c>
      <c r="D5" s="3">
        <v>1.19565117959587</v>
      </c>
      <c r="E5" s="3">
        <v>1.1982278128619099</v>
      </c>
    </row>
    <row r="6" spans="1:5" x14ac:dyDescent="0.2">
      <c r="A6" s="3">
        <v>5</v>
      </c>
      <c r="B6" s="3">
        <v>1.2986432618311401</v>
      </c>
      <c r="C6" s="3">
        <v>1.2088758937337101</v>
      </c>
      <c r="D6" s="3">
        <v>1.3135148112521</v>
      </c>
      <c r="E6" s="3">
        <v>1.31575826731595</v>
      </c>
    </row>
    <row r="7" spans="1:5" x14ac:dyDescent="0.2">
      <c r="A7" s="3">
        <v>6</v>
      </c>
      <c r="B7" s="3">
        <v>1.3583165649240401</v>
      </c>
      <c r="C7" s="3">
        <v>1.3293589424958001</v>
      </c>
      <c r="D7" s="3">
        <v>1.4519052234955301</v>
      </c>
      <c r="E7" s="3">
        <v>1.3623189823163599</v>
      </c>
    </row>
    <row r="8" spans="1:5" x14ac:dyDescent="0.2">
      <c r="A8" s="4" t="s">
        <v>5</v>
      </c>
      <c r="B8" s="4">
        <f>CORREL($A2:$A7,B2:B7)</f>
        <v>0.9923626504004236</v>
      </c>
      <c r="C8" s="4">
        <f t="shared" ref="C8:E8" si="0">CORREL($A2:$A7,C2:C7)</f>
        <v>0.95935583164608773</v>
      </c>
      <c r="D8" s="4">
        <f t="shared" si="0"/>
        <v>0.93680065024204839</v>
      </c>
      <c r="E8" s="4">
        <f t="shared" si="0"/>
        <v>0.94040100379787483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CyclomaticAveragesGeminiPro</vt:lpstr>
      <vt:lpstr>CyclomaticAveragesGeminiPro!Print_Area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Hong Zhu</cp:lastModifiedBy>
  <cp:lastPrinted>2025-10-16T11:08:24Z</cp:lastPrinted>
  <dcterms:created xsi:type="dcterms:W3CDTF">2025-09-01T11:32:18Z</dcterms:created>
  <dcterms:modified xsi:type="dcterms:W3CDTF">2026-02-13T13:34:19Z</dcterms:modified>
</cp:coreProperties>
</file>