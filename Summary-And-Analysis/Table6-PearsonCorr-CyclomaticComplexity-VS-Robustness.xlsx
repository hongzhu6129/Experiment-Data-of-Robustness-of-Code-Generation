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5BB102F5-A9AD-C648-885E-ACBB0EE50166}" xr6:coauthVersionLast="47" xr6:coauthVersionMax="47" xr10:uidLastSave="{00000000-0000-0000-0000-000000000000}"/>
  <bookViews>
    <workbookView xWindow="61720" yWindow="4400" windowWidth="23240" windowHeight="17480" activeTab="1" xr2:uid="{032854C5-E33C-4C2E-BBB3-7FC7CC12543F}"/>
  </bookViews>
  <sheets>
    <sheet name="CyclomaticAverages" sheetId="1" r:id="rId1"/>
    <sheet name="Pearson Corre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C12" i="2"/>
  <c r="D12" i="2"/>
  <c r="E12" i="2"/>
  <c r="A12" i="2"/>
  <c r="B11" i="2"/>
  <c r="C11" i="2"/>
  <c r="D11" i="2"/>
  <c r="E11" i="2"/>
  <c r="A11" i="2"/>
  <c r="F71" i="1"/>
  <c r="E71" i="1"/>
  <c r="D71" i="1"/>
  <c r="C71" i="1"/>
  <c r="F64" i="1"/>
  <c r="E64" i="1"/>
  <c r="D64" i="1"/>
  <c r="C64" i="1"/>
  <c r="B10" i="2"/>
  <c r="C10" i="2"/>
  <c r="D10" i="2"/>
  <c r="E10" i="2"/>
  <c r="A10" i="2"/>
  <c r="B9" i="2"/>
  <c r="C9" i="2"/>
  <c r="D9" i="2"/>
  <c r="E9" i="2"/>
  <c r="A9" i="2"/>
  <c r="B8" i="2"/>
  <c r="C8" i="2"/>
  <c r="D8" i="2"/>
  <c r="E8" i="2"/>
  <c r="A8" i="2"/>
  <c r="B7" i="2"/>
  <c r="C7" i="2"/>
  <c r="D7" i="2"/>
  <c r="E7" i="2"/>
  <c r="A7" i="2"/>
  <c r="B6" i="2"/>
  <c r="C6" i="2"/>
  <c r="D6" i="2"/>
  <c r="E6" i="2"/>
  <c r="A6" i="2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B2" i="2"/>
  <c r="C2" i="2"/>
  <c r="D2" i="2"/>
  <c r="E2" i="2"/>
  <c r="C57" i="1"/>
  <c r="F57" i="1"/>
  <c r="E57" i="1"/>
  <c r="D57" i="1"/>
  <c r="F50" i="1"/>
  <c r="E50" i="1"/>
  <c r="D50" i="1"/>
  <c r="C50" i="1"/>
  <c r="F43" i="1"/>
  <c r="E43" i="1"/>
  <c r="D43" i="1"/>
  <c r="C43" i="1"/>
  <c r="F36" i="1"/>
  <c r="E36" i="1"/>
  <c r="D36" i="1"/>
  <c r="C36" i="1"/>
  <c r="C29" i="1"/>
  <c r="F29" i="1"/>
  <c r="E29" i="1"/>
  <c r="D29" i="1"/>
  <c r="F22" i="1"/>
  <c r="E22" i="1"/>
  <c r="D22" i="1"/>
  <c r="C22" i="1"/>
  <c r="C15" i="1"/>
  <c r="F15" i="1"/>
  <c r="E15" i="1"/>
  <c r="D15" i="1"/>
  <c r="F8" i="1"/>
  <c r="E8" i="1"/>
  <c r="D8" i="1"/>
  <c r="C8" i="1"/>
</calcChain>
</file>

<file path=xl/sharedStrings.xml><?xml version="1.0" encoding="utf-8"?>
<sst xmlns="http://schemas.openxmlformats.org/spreadsheetml/2006/main" count="28" uniqueCount="19">
  <si>
    <t>Cyclomatic_Given</t>
  </si>
  <si>
    <t>BLEU</t>
  </si>
  <si>
    <t>Model</t>
  </si>
  <si>
    <t>Codex</t>
  </si>
  <si>
    <t>GeminiPro</t>
  </si>
  <si>
    <t xml:space="preserve">Falcon </t>
  </si>
  <si>
    <t>Llama2</t>
  </si>
  <si>
    <t>Pearson</t>
  </si>
  <si>
    <t>ChrF</t>
  </si>
  <si>
    <t>Cosine</t>
  </si>
  <si>
    <t>Levenshtein_Char</t>
  </si>
  <si>
    <t>Levenshtein_Word</t>
  </si>
  <si>
    <t>Meteor</t>
  </si>
  <si>
    <t>RougeL</t>
  </si>
  <si>
    <t>RougeN</t>
  </si>
  <si>
    <t>Pearson Correlation btw Cyclomatic Complexity and Robustness R^o</t>
  </si>
  <si>
    <t>Euclidean</t>
  </si>
  <si>
    <t>RoBERTa</t>
  </si>
  <si>
    <t>Similarity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</si>
</sst>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18" fillId="0" borderId="10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F6E6-20C6-43EB-8325-F66ACC2E61F0}">
  <dimension ref="A1:F71"/>
  <sheetViews>
    <sheetView topLeftCell="A41" zoomScale="120" zoomScaleNormal="120" workbookViewId="0">
      <selection activeCell="C71" sqref="C71:F71"/>
    </sheetView>
  </sheetViews>
  <sheetFormatPr baseColWidth="10" defaultColWidth="8.83203125" defaultRowHeight="15" x14ac:dyDescent="0.2"/>
  <cols>
    <col min="1" max="1" width="11.1640625" customWidth="1"/>
    <col min="4" max="4" width="10.83203125" customWidth="1"/>
  </cols>
  <sheetData>
    <row r="1" spans="1:6" x14ac:dyDescent="0.2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s="4" t="s">
        <v>1</v>
      </c>
      <c r="B2">
        <v>1</v>
      </c>
      <c r="C2">
        <v>0.41614023744766998</v>
      </c>
      <c r="D2">
        <v>0.372481162975697</v>
      </c>
      <c r="E2">
        <v>0.38622416495036399</v>
      </c>
      <c r="F2">
        <v>0.39496040705848101</v>
      </c>
    </row>
    <row r="3" spans="1:6" x14ac:dyDescent="0.2">
      <c r="A3" s="4"/>
      <c r="B3">
        <v>2</v>
      </c>
      <c r="C3">
        <v>0.41688915748766803</v>
      </c>
      <c r="D3">
        <v>0.40727848617503898</v>
      </c>
      <c r="E3">
        <v>0.41709968602776498</v>
      </c>
      <c r="F3">
        <v>0.418696372916319</v>
      </c>
    </row>
    <row r="4" spans="1:6" x14ac:dyDescent="0.2">
      <c r="A4" s="4"/>
      <c r="B4">
        <v>3</v>
      </c>
      <c r="C4">
        <v>0.41049309866765699</v>
      </c>
      <c r="D4">
        <v>0.409395753874085</v>
      </c>
      <c r="E4">
        <v>0.41759088769360198</v>
      </c>
      <c r="F4">
        <v>0.41880065182890303</v>
      </c>
    </row>
    <row r="5" spans="1:6" x14ac:dyDescent="0.2">
      <c r="A5" s="4"/>
      <c r="B5">
        <v>4</v>
      </c>
      <c r="C5">
        <v>0.42500063822200101</v>
      </c>
      <c r="D5">
        <v>0.39663407417625801</v>
      </c>
      <c r="E5">
        <v>0.416412895404214</v>
      </c>
      <c r="F5">
        <v>0.421084956690715</v>
      </c>
    </row>
    <row r="6" spans="1:6" x14ac:dyDescent="0.2">
      <c r="A6" s="4"/>
      <c r="B6">
        <v>5</v>
      </c>
      <c r="C6">
        <v>0.48105116768879602</v>
      </c>
      <c r="D6">
        <v>0.47414245678139999</v>
      </c>
      <c r="E6">
        <v>0.49252908583800598</v>
      </c>
      <c r="F6">
        <v>0.49303114118771602</v>
      </c>
    </row>
    <row r="7" spans="1:6" x14ac:dyDescent="0.2">
      <c r="A7" s="4"/>
      <c r="B7">
        <v>6</v>
      </c>
      <c r="C7">
        <v>0.48519804542575501</v>
      </c>
      <c r="D7">
        <v>0.47823394885228199</v>
      </c>
      <c r="E7">
        <v>0.48547366236907402</v>
      </c>
      <c r="F7">
        <v>0.48825971805443202</v>
      </c>
    </row>
    <row r="8" spans="1:6" x14ac:dyDescent="0.2">
      <c r="A8" t="s">
        <v>7</v>
      </c>
      <c r="C8">
        <f>PEARSON(B2:B7,C2:C7)</f>
        <v>0.85774498633808605</v>
      </c>
      <c r="D8">
        <f>PEARSON(B2:B7,D2:D7)</f>
        <v>0.88595950079953478</v>
      </c>
      <c r="E8">
        <f>PEARSON(B2:B7,E2:E7)</f>
        <v>0.89886745307139826</v>
      </c>
      <c r="F8">
        <f>PEARSON(B2:B7,F2:F7)</f>
        <v>0.90074073290990686</v>
      </c>
    </row>
    <row r="9" spans="1:6" x14ac:dyDescent="0.2">
      <c r="A9" s="4" t="s">
        <v>8</v>
      </c>
      <c r="B9">
        <v>1</v>
      </c>
      <c r="C9">
        <v>63.5844017342082</v>
      </c>
      <c r="D9">
        <v>63.792332506652997</v>
      </c>
      <c r="E9">
        <v>65.504642716563794</v>
      </c>
      <c r="F9">
        <v>65.975809676487202</v>
      </c>
    </row>
    <row r="10" spans="1:6" x14ac:dyDescent="0.2">
      <c r="A10" s="4"/>
      <c r="B10">
        <v>2</v>
      </c>
      <c r="C10">
        <v>66.268962703479204</v>
      </c>
      <c r="D10">
        <v>66.766214762461004</v>
      </c>
      <c r="E10">
        <v>63.766487749666602</v>
      </c>
      <c r="F10">
        <v>64.022217639887202</v>
      </c>
    </row>
    <row r="11" spans="1:6" x14ac:dyDescent="0.2">
      <c r="A11" s="4"/>
      <c r="B11">
        <v>3</v>
      </c>
      <c r="C11">
        <v>67.359903339939294</v>
      </c>
      <c r="D11">
        <v>65.674617186848096</v>
      </c>
      <c r="E11">
        <v>67.502396514832299</v>
      </c>
      <c r="F11">
        <v>67.574393899163994</v>
      </c>
    </row>
    <row r="12" spans="1:6" x14ac:dyDescent="0.2">
      <c r="A12" s="4"/>
      <c r="B12">
        <v>4</v>
      </c>
      <c r="C12">
        <v>65.220079365876899</v>
      </c>
      <c r="D12">
        <v>62.486649181458397</v>
      </c>
      <c r="E12">
        <v>66.5553343618583</v>
      </c>
      <c r="F12">
        <v>66.586708007351206</v>
      </c>
    </row>
    <row r="13" spans="1:6" x14ac:dyDescent="0.2">
      <c r="A13" s="4"/>
      <c r="B13">
        <v>5</v>
      </c>
      <c r="C13">
        <v>74.257391876136793</v>
      </c>
      <c r="D13">
        <v>71.898596734309805</v>
      </c>
      <c r="E13">
        <v>72.257984510565905</v>
      </c>
      <c r="F13">
        <v>72.698438507937396</v>
      </c>
    </row>
    <row r="14" spans="1:6" x14ac:dyDescent="0.2">
      <c r="A14" s="4"/>
      <c r="B14">
        <v>6</v>
      </c>
      <c r="C14">
        <v>72.137179232664906</v>
      </c>
      <c r="D14">
        <v>72.0388304123301</v>
      </c>
      <c r="E14">
        <v>74.425507680373002</v>
      </c>
      <c r="F14">
        <v>74.538180969838805</v>
      </c>
    </row>
    <row r="15" spans="1:6" x14ac:dyDescent="0.2">
      <c r="A15" t="s">
        <v>7</v>
      </c>
      <c r="C15">
        <f>PEARSON(B9:B14,C9:C14)</f>
        <v>0.82866777181190177</v>
      </c>
      <c r="D15">
        <f>PEARSON(B9:B14,D9:D14)</f>
        <v>0.7063087797377271</v>
      </c>
      <c r="E15">
        <f>PEARSON(B9:B14,E9:E14)</f>
        <v>0.89503614088003802</v>
      </c>
      <c r="F15">
        <f>PEARSON(B9:B14,F9:F14)</f>
        <v>0.87964961163624222</v>
      </c>
    </row>
    <row r="16" spans="1:6" x14ac:dyDescent="0.2">
      <c r="A16" s="4" t="s">
        <v>9</v>
      </c>
      <c r="B16">
        <v>1</v>
      </c>
      <c r="C16">
        <v>0.96576288385319997</v>
      </c>
      <c r="D16">
        <v>0.96421827248251701</v>
      </c>
      <c r="E16">
        <v>0.96595549289523497</v>
      </c>
      <c r="F16">
        <v>0.96620298105163904</v>
      </c>
    </row>
    <row r="17" spans="1:6" x14ac:dyDescent="0.2">
      <c r="A17" s="4"/>
      <c r="B17">
        <v>2</v>
      </c>
      <c r="C17">
        <v>0.98597989208770498</v>
      </c>
      <c r="D17">
        <v>0.98556270653551203</v>
      </c>
      <c r="E17">
        <v>0.98602505795883399</v>
      </c>
      <c r="F17">
        <v>0.98602703755552101</v>
      </c>
    </row>
    <row r="18" spans="1:6" x14ac:dyDescent="0.2">
      <c r="A18" s="4"/>
      <c r="B18">
        <v>3</v>
      </c>
      <c r="C18">
        <v>0.97903630604780501</v>
      </c>
      <c r="D18">
        <v>0.97778179290907297</v>
      </c>
      <c r="E18">
        <v>0.99319799036919298</v>
      </c>
      <c r="F18">
        <v>0.97952954479213805</v>
      </c>
    </row>
    <row r="19" spans="1:6" x14ac:dyDescent="0.2">
      <c r="A19" s="4"/>
      <c r="B19">
        <v>4</v>
      </c>
      <c r="C19">
        <v>0.98898153540765099</v>
      </c>
      <c r="D19">
        <v>0.98851443933065397</v>
      </c>
      <c r="E19">
        <v>0.98903193113480803</v>
      </c>
      <c r="F19">
        <v>0.98925468645066295</v>
      </c>
    </row>
    <row r="20" spans="1:6" x14ac:dyDescent="0.2">
      <c r="A20" s="4"/>
      <c r="B20">
        <v>5</v>
      </c>
      <c r="C20">
        <v>0.98292425145353701</v>
      </c>
      <c r="D20">
        <v>0.98224400437294201</v>
      </c>
      <c r="E20">
        <v>0.98301208192103795</v>
      </c>
      <c r="F20">
        <v>0.98313313981841199</v>
      </c>
    </row>
    <row r="21" spans="1:6" x14ac:dyDescent="0.2">
      <c r="A21" s="4"/>
      <c r="B21">
        <v>6</v>
      </c>
      <c r="C21">
        <v>0.993001547040818</v>
      </c>
      <c r="D21">
        <v>0.99253275047374601</v>
      </c>
      <c r="E21">
        <v>0.99922024630376904</v>
      </c>
      <c r="F21">
        <v>0.99330890782271697</v>
      </c>
    </row>
    <row r="22" spans="1:6" x14ac:dyDescent="0.2">
      <c r="A22" t="s">
        <v>7</v>
      </c>
      <c r="C22">
        <f>PEARSON(B16:B21,C16:C21)</f>
        <v>0.76612273010286436</v>
      </c>
      <c r="D22">
        <f>PEARSON(B16:B21,D16:D21)</f>
        <v>0.76096817910596204</v>
      </c>
      <c r="E22">
        <f>PEARSON(B16:B21,E16:E21)</f>
        <v>0.71979661811314777</v>
      </c>
      <c r="F22">
        <f>PEARSON(B16:B21,F16:F21)</f>
        <v>0.77060747245740224</v>
      </c>
    </row>
    <row r="23" spans="1:6" x14ac:dyDescent="0.2">
      <c r="A23" s="5" t="s">
        <v>10</v>
      </c>
      <c r="B23">
        <v>1</v>
      </c>
      <c r="C23">
        <v>16.816326530612201</v>
      </c>
      <c r="D23">
        <v>17.387755102040799</v>
      </c>
      <c r="E23">
        <v>16.5918367346938</v>
      </c>
      <c r="F23">
        <v>16.428571428571399</v>
      </c>
    </row>
    <row r="24" spans="1:6" x14ac:dyDescent="0.2">
      <c r="A24" s="5"/>
      <c r="B24">
        <v>2</v>
      </c>
      <c r="C24">
        <v>10.7909604519774</v>
      </c>
      <c r="D24">
        <v>14.013245033112501</v>
      </c>
      <c r="E24">
        <v>12.910714285714199</v>
      </c>
      <c r="F24">
        <v>12.75</v>
      </c>
    </row>
    <row r="25" spans="1:6" x14ac:dyDescent="0.2">
      <c r="A25" s="5"/>
      <c r="B25">
        <v>3</v>
      </c>
      <c r="C25">
        <v>13.0662251655629</v>
      </c>
      <c r="D25">
        <v>14.125</v>
      </c>
      <c r="E25">
        <v>12.8211920529801</v>
      </c>
      <c r="F25">
        <v>12.602649006622499</v>
      </c>
    </row>
    <row r="26" spans="1:6" x14ac:dyDescent="0.2">
      <c r="A26" s="5"/>
      <c r="B26">
        <v>4</v>
      </c>
      <c r="C26">
        <v>13.160714285714199</v>
      </c>
      <c r="D26">
        <v>10.129870129870101</v>
      </c>
      <c r="E26">
        <v>9.0389610389610393</v>
      </c>
      <c r="F26">
        <v>8.6623376623376593</v>
      </c>
    </row>
    <row r="27" spans="1:6" x14ac:dyDescent="0.2">
      <c r="A27" s="5"/>
      <c r="B27">
        <v>5</v>
      </c>
      <c r="C27">
        <v>7.484375</v>
      </c>
      <c r="D27">
        <v>8.46875</v>
      </c>
      <c r="E27">
        <v>7.34375</v>
      </c>
      <c r="F27">
        <v>7.25</v>
      </c>
    </row>
    <row r="28" spans="1:6" x14ac:dyDescent="0.2">
      <c r="A28" s="5"/>
      <c r="B28">
        <v>6</v>
      </c>
      <c r="C28">
        <v>9.1298701298701292</v>
      </c>
      <c r="D28">
        <v>11.8361581920903</v>
      </c>
      <c r="E28">
        <v>10.446327683615801</v>
      </c>
      <c r="F28">
        <v>10.1920903954802</v>
      </c>
    </row>
    <row r="29" spans="1:6" x14ac:dyDescent="0.2">
      <c r="A29" t="s">
        <v>7</v>
      </c>
      <c r="C29">
        <f>PEARSON(B23:B28,C23:C28)</f>
        <v>-0.77513665908192353</v>
      </c>
      <c r="D29">
        <f>PEARSON(B23:B28,D23:D28)</f>
        <v>-0.81001515396688228</v>
      </c>
      <c r="E29">
        <f>PEARSON(B23:B28,E23:E28)</f>
        <v>-0.83217198919490554</v>
      </c>
      <c r="F29">
        <f>PEARSON(B23:B28,F23:F28)</f>
        <v>-0.83434800401431497</v>
      </c>
    </row>
    <row r="30" spans="1:6" x14ac:dyDescent="0.2">
      <c r="A30" s="5" t="s">
        <v>11</v>
      </c>
      <c r="B30">
        <v>1</v>
      </c>
      <c r="C30">
        <v>1.2028985507246299</v>
      </c>
      <c r="D30">
        <v>1.26086956521739</v>
      </c>
      <c r="E30">
        <v>1.2002898550724601</v>
      </c>
      <c r="F30">
        <v>1.1739130434782601</v>
      </c>
    </row>
    <row r="31" spans="1:6" x14ac:dyDescent="0.2">
      <c r="A31" s="5"/>
      <c r="B31">
        <v>2</v>
      </c>
      <c r="C31">
        <v>1.14492753623188</v>
      </c>
      <c r="D31">
        <v>1.1739130434782601</v>
      </c>
      <c r="E31">
        <v>1.15421449275362</v>
      </c>
      <c r="F31">
        <v>1.0869565217391299</v>
      </c>
    </row>
    <row r="32" spans="1:6" x14ac:dyDescent="0.2">
      <c r="A32" s="5"/>
      <c r="B32">
        <v>3</v>
      </c>
      <c r="C32">
        <v>1.0258064516129</v>
      </c>
      <c r="D32">
        <v>1.0387096774193501</v>
      </c>
      <c r="E32">
        <v>1.0355425806451599</v>
      </c>
      <c r="F32">
        <v>1.0387096774193501</v>
      </c>
    </row>
    <row r="33" spans="1:6" x14ac:dyDescent="0.2">
      <c r="A33" s="5"/>
      <c r="B33">
        <v>4</v>
      </c>
      <c r="C33">
        <v>1.0387096774193501</v>
      </c>
      <c r="D33">
        <v>1.03387055774193</v>
      </c>
      <c r="E33">
        <v>1.0318768709677399</v>
      </c>
      <c r="F33">
        <v>1.0258064516129</v>
      </c>
    </row>
    <row r="34" spans="1:6" x14ac:dyDescent="0.2">
      <c r="A34" s="5"/>
      <c r="B34">
        <v>5</v>
      </c>
      <c r="C34">
        <v>1.04617283950617</v>
      </c>
      <c r="D34">
        <v>1.00617283950617</v>
      </c>
      <c r="E34">
        <v>1.00617283950617</v>
      </c>
      <c r="F34">
        <v>1.00512261728395</v>
      </c>
    </row>
    <row r="35" spans="1:6" x14ac:dyDescent="0.2">
      <c r="A35" s="5"/>
      <c r="B35">
        <v>6</v>
      </c>
      <c r="C35">
        <v>1.0681481481481401</v>
      </c>
      <c r="D35">
        <v>1.0993827160493801</v>
      </c>
      <c r="E35">
        <v>1.0098148148148101</v>
      </c>
      <c r="F35">
        <v>1.0090122814814799</v>
      </c>
    </row>
    <row r="36" spans="1:6" x14ac:dyDescent="0.2">
      <c r="A36" t="s">
        <v>7</v>
      </c>
      <c r="C36">
        <f>PEARSON(B30:B35,C30:C35)</f>
        <v>-0.72520387262886787</v>
      </c>
      <c r="D36">
        <f>PEARSON(B30:B35,D30:D35)</f>
        <v>-0.71581500084747418</v>
      </c>
      <c r="E36">
        <f>PEARSON(B30:B35,E30:E35)</f>
        <v>-0.90294513986173208</v>
      </c>
      <c r="F36">
        <f>PEARSON(B30:B35,F30:F35)</f>
        <v>-0.89601670261867372</v>
      </c>
    </row>
    <row r="37" spans="1:6" x14ac:dyDescent="0.2">
      <c r="A37" s="5" t="s">
        <v>12</v>
      </c>
      <c r="B37">
        <v>1</v>
      </c>
      <c r="C37">
        <v>0.61542066729652001</v>
      </c>
      <c r="D37">
        <v>0.59229009222723705</v>
      </c>
      <c r="E37">
        <v>0.61837834516132095</v>
      </c>
      <c r="F37">
        <v>0.62677271277373603</v>
      </c>
    </row>
    <row r="38" spans="1:6" x14ac:dyDescent="0.2">
      <c r="A38" s="5"/>
      <c r="B38">
        <v>2</v>
      </c>
      <c r="C38">
        <v>0.66031169950491597</v>
      </c>
      <c r="D38">
        <v>0.65302359058977499</v>
      </c>
      <c r="E38">
        <v>0.66213270020483705</v>
      </c>
      <c r="F38">
        <v>0.66329487060569003</v>
      </c>
    </row>
    <row r="39" spans="1:6" x14ac:dyDescent="0.2">
      <c r="A39" s="5"/>
      <c r="B39">
        <v>3</v>
      </c>
      <c r="C39">
        <v>0.60948414533945705</v>
      </c>
      <c r="D39">
        <v>0.593489994226164</v>
      </c>
      <c r="E39">
        <v>0.61317832018129403</v>
      </c>
      <c r="F39">
        <v>0.615933515839174</v>
      </c>
    </row>
    <row r="40" spans="1:6" x14ac:dyDescent="0.2">
      <c r="A40" s="5"/>
      <c r="B40">
        <v>4</v>
      </c>
      <c r="C40">
        <v>0.66429885607376105</v>
      </c>
      <c r="D40">
        <v>0.64168108607813501</v>
      </c>
      <c r="E40">
        <v>0.666263538655812</v>
      </c>
      <c r="F40">
        <v>0.66861997780376403</v>
      </c>
    </row>
    <row r="41" spans="1:6" x14ac:dyDescent="0.2">
      <c r="A41" s="5"/>
      <c r="B41">
        <v>5</v>
      </c>
      <c r="C41">
        <v>0.75853122911800597</v>
      </c>
      <c r="D41">
        <v>0.74762497456566601</v>
      </c>
      <c r="E41">
        <v>0.759017119548831</v>
      </c>
      <c r="F41">
        <v>0.76012164320071696</v>
      </c>
    </row>
    <row r="42" spans="1:6" x14ac:dyDescent="0.2">
      <c r="A42" s="5"/>
      <c r="B42">
        <v>6</v>
      </c>
      <c r="C42">
        <v>0.72939002600086</v>
      </c>
      <c r="D42">
        <v>0.71907759941062399</v>
      </c>
      <c r="E42">
        <v>0.73026463744881498</v>
      </c>
      <c r="F42">
        <v>0.73262081919418098</v>
      </c>
    </row>
    <row r="43" spans="1:6" x14ac:dyDescent="0.2">
      <c r="A43" t="s">
        <v>7</v>
      </c>
      <c r="C43">
        <f>PEARSON(B37:B42,C37:C42)</f>
        <v>0.81714263052032332</v>
      </c>
      <c r="D43">
        <f>PEARSON(B37:B42,D37:D42)</f>
        <v>0.80568896033039317</v>
      </c>
      <c r="E43">
        <f>PEARSON(B37:B42,E37:E42)</f>
        <v>0.81876786161630388</v>
      </c>
      <c r="F43">
        <f>PEARSON(B37:B42,F37:F42)</f>
        <v>0.81156353335764508</v>
      </c>
    </row>
    <row r="44" spans="1:6" x14ac:dyDescent="0.2">
      <c r="A44" s="5" t="s">
        <v>13</v>
      </c>
      <c r="B44">
        <v>1</v>
      </c>
      <c r="C44">
        <v>0.67400431262154503</v>
      </c>
      <c r="D44">
        <v>0.65272764686776297</v>
      </c>
      <c r="E44">
        <v>0.67529574658111902</v>
      </c>
      <c r="F44">
        <v>0.67784211031136898</v>
      </c>
    </row>
    <row r="45" spans="1:6" x14ac:dyDescent="0.2">
      <c r="A45" s="5"/>
      <c r="B45">
        <v>2</v>
      </c>
      <c r="C45">
        <v>0.65592386122108204</v>
      </c>
      <c r="D45">
        <v>0.64224914380676401</v>
      </c>
      <c r="E45">
        <v>0.66247786155960098</v>
      </c>
      <c r="F45">
        <v>0.666015417599371</v>
      </c>
    </row>
    <row r="46" spans="1:6" x14ac:dyDescent="0.2">
      <c r="A46" s="5"/>
      <c r="B46">
        <v>3</v>
      </c>
      <c r="C46">
        <v>0.70518138088455196</v>
      </c>
      <c r="D46">
        <v>0.69217428212526</v>
      </c>
      <c r="E46">
        <v>0.70536062849271697</v>
      </c>
      <c r="F46">
        <v>0.70582030803040996</v>
      </c>
    </row>
    <row r="47" spans="1:6" x14ac:dyDescent="0.2">
      <c r="A47" s="5"/>
      <c r="B47">
        <v>4</v>
      </c>
      <c r="C47">
        <v>0.69087320215732995</v>
      </c>
      <c r="D47">
        <v>0.68442353381856302</v>
      </c>
      <c r="E47">
        <v>0.69092700003320295</v>
      </c>
      <c r="F47">
        <v>0.69300343802527997</v>
      </c>
    </row>
    <row r="48" spans="1:6" x14ac:dyDescent="0.2">
      <c r="A48" s="5"/>
      <c r="B48">
        <v>5</v>
      </c>
      <c r="C48">
        <v>0.78912755772074705</v>
      </c>
      <c r="D48">
        <v>0.78109130834279805</v>
      </c>
      <c r="E48">
        <v>0.78927531185786304</v>
      </c>
      <c r="F48">
        <v>0.78962641648704301</v>
      </c>
    </row>
    <row r="49" spans="1:6" x14ac:dyDescent="0.2">
      <c r="A49" s="5"/>
      <c r="B49">
        <v>6</v>
      </c>
      <c r="C49">
        <v>0.76208393710511702</v>
      </c>
      <c r="D49">
        <v>0.75465030799260802</v>
      </c>
      <c r="E49">
        <v>0.76235470133716199</v>
      </c>
      <c r="F49">
        <v>0.76404246505024198</v>
      </c>
    </row>
    <row r="50" spans="1:6" x14ac:dyDescent="0.2">
      <c r="A50" t="s">
        <v>7</v>
      </c>
      <c r="C50">
        <f>PEARSON(B44:B49,C44:C49)</f>
        <v>0.84833436532474904</v>
      </c>
      <c r="D50">
        <f>PEARSON(B44:B49,D44:D49)</f>
        <v>0.88375840430129071</v>
      </c>
      <c r="E50">
        <f>PEARSON(B44:B49,E44:E49)</f>
        <v>0.84768382986244317</v>
      </c>
      <c r="F50">
        <f>PEARSON(B44:B49,F44:F49)</f>
        <v>0.84977802376529354</v>
      </c>
    </row>
    <row r="51" spans="1:6" x14ac:dyDescent="0.2">
      <c r="A51" s="5" t="s">
        <v>14</v>
      </c>
      <c r="B51">
        <v>1</v>
      </c>
      <c r="C51">
        <v>0.58288540235224295</v>
      </c>
      <c r="D51">
        <v>0.56278555623292803</v>
      </c>
      <c r="E51">
        <v>0.58475851488612096</v>
      </c>
      <c r="F51">
        <v>0.58867522654277105</v>
      </c>
    </row>
    <row r="52" spans="1:6" x14ac:dyDescent="0.2">
      <c r="A52" s="5"/>
      <c r="B52">
        <v>2</v>
      </c>
      <c r="C52">
        <v>0.60989974476460096</v>
      </c>
      <c r="D52">
        <v>0.58279381197275903</v>
      </c>
      <c r="E52">
        <v>0.62944616480093196</v>
      </c>
      <c r="F52">
        <v>0.63032799901610004</v>
      </c>
    </row>
    <row r="53" spans="1:6" x14ac:dyDescent="0.2">
      <c r="A53" s="5"/>
      <c r="B53">
        <v>3</v>
      </c>
      <c r="C53">
        <v>0.59790575344497499</v>
      </c>
      <c r="D53">
        <v>0.61954517980657398</v>
      </c>
      <c r="E53">
        <v>0.60995307837320401</v>
      </c>
      <c r="F53">
        <v>0.61611554335919805</v>
      </c>
    </row>
    <row r="54" spans="1:6" x14ac:dyDescent="0.2">
      <c r="A54" s="5"/>
      <c r="B54">
        <v>4</v>
      </c>
      <c r="C54">
        <v>0.62944616480093196</v>
      </c>
      <c r="D54">
        <v>0.60523042994748899</v>
      </c>
      <c r="E54">
        <v>0.60658289268611798</v>
      </c>
      <c r="F54">
        <v>0.61032841648276903</v>
      </c>
    </row>
    <row r="55" spans="1:6" x14ac:dyDescent="0.2">
      <c r="A55" s="5"/>
      <c r="B55">
        <v>5</v>
      </c>
      <c r="C55">
        <v>0.73721714242242997</v>
      </c>
      <c r="D55">
        <v>0.72387727691659898</v>
      </c>
      <c r="E55">
        <v>0.74761586650536505</v>
      </c>
      <c r="F55">
        <v>0.73896396469556802</v>
      </c>
    </row>
    <row r="56" spans="1:6" x14ac:dyDescent="0.2">
      <c r="A56" s="5"/>
      <c r="B56">
        <v>6</v>
      </c>
      <c r="C56">
        <v>0.68098997447646004</v>
      </c>
      <c r="D56">
        <v>0.68100390525370302</v>
      </c>
      <c r="E56">
        <v>0.69487787639860199</v>
      </c>
      <c r="F56">
        <v>0.69913077305656202</v>
      </c>
    </row>
    <row r="57" spans="1:6" x14ac:dyDescent="0.2">
      <c r="A57" t="s">
        <v>7</v>
      </c>
      <c r="C57">
        <f>PEARSON(B51:B56,C51:C56)</f>
        <v>0.82430156014846423</v>
      </c>
      <c r="D57">
        <f>PEARSON(B51:B56,D51:D56)</f>
        <v>0.8698943002531716</v>
      </c>
      <c r="E57">
        <f>PEARSON(B51:B56,E51:E56)</f>
        <v>0.77001609277780725</v>
      </c>
      <c r="F57">
        <f>PEARSON(B51:B56,F51:F56)</f>
        <v>0.79615216628375662</v>
      </c>
    </row>
    <row r="58" spans="1:6" x14ac:dyDescent="0.2">
      <c r="A58" s="4" t="s">
        <v>16</v>
      </c>
      <c r="B58">
        <v>1</v>
      </c>
      <c r="C58">
        <v>0.65368549179472901</v>
      </c>
      <c r="D58">
        <v>0.62084927843134396</v>
      </c>
      <c r="E58">
        <v>0.61590578265059204</v>
      </c>
      <c r="F58">
        <v>0.60986044612594603</v>
      </c>
    </row>
    <row r="59" spans="1:6" x14ac:dyDescent="0.2">
      <c r="A59" s="4"/>
      <c r="B59">
        <v>2</v>
      </c>
      <c r="C59">
        <v>0.56920454758306305</v>
      </c>
      <c r="D59">
        <v>0.55393855796802305</v>
      </c>
      <c r="E59">
        <v>0.55198475399337399</v>
      </c>
      <c r="F59">
        <v>0.54866067119724904</v>
      </c>
    </row>
    <row r="60" spans="1:6" x14ac:dyDescent="0.2">
      <c r="A60" s="4"/>
      <c r="B60">
        <v>3</v>
      </c>
      <c r="C60">
        <v>0.54914820219345895</v>
      </c>
      <c r="D60">
        <v>0.52409889485160599</v>
      </c>
      <c r="E60">
        <v>0.52090807409835505</v>
      </c>
      <c r="F60">
        <v>0.51345303700225498</v>
      </c>
    </row>
    <row r="61" spans="1:6" x14ac:dyDescent="0.2">
      <c r="A61" s="4"/>
      <c r="B61">
        <v>4</v>
      </c>
      <c r="C61">
        <v>0.50070050785109999</v>
      </c>
      <c r="D61">
        <v>0.49130143280012201</v>
      </c>
      <c r="E61">
        <v>0.48934941021995798</v>
      </c>
      <c r="F61">
        <v>0.48358256554729101</v>
      </c>
    </row>
    <row r="62" spans="1:6" x14ac:dyDescent="0.2">
      <c r="A62" s="4"/>
      <c r="B62">
        <v>5</v>
      </c>
      <c r="C62">
        <v>0.48423250087282799</v>
      </c>
      <c r="D62">
        <v>0.467351608091231</v>
      </c>
      <c r="E62">
        <v>0.465763159886454</v>
      </c>
      <c r="F62">
        <v>0.46500206682266598</v>
      </c>
    </row>
    <row r="63" spans="1:6" x14ac:dyDescent="0.2">
      <c r="A63" s="4"/>
      <c r="B63">
        <v>6</v>
      </c>
      <c r="C63">
        <v>0.42162870191320501</v>
      </c>
      <c r="D63">
        <v>0.40606943781994498</v>
      </c>
      <c r="E63">
        <v>0.40323530863734702</v>
      </c>
      <c r="F63">
        <v>0.39892473156693598</v>
      </c>
    </row>
    <row r="64" spans="1:6" x14ac:dyDescent="0.2">
      <c r="A64" t="s">
        <v>7</v>
      </c>
      <c r="C64">
        <f>PEARSON(B58:B63,C58:C63)</f>
        <v>-0.97948952400137312</v>
      </c>
      <c r="D64">
        <f>PEARSON(B58:B63,D58:D63)</f>
        <v>-0.98694266741710324</v>
      </c>
      <c r="E64">
        <f>PEARSON(B58:B63,E58:E63)</f>
        <v>-0.98728657590308466</v>
      </c>
      <c r="F64">
        <f>PEARSON(B58:B63,F58:F63)</f>
        <v>-0.98494092676234779</v>
      </c>
    </row>
    <row r="65" spans="1:6" x14ac:dyDescent="0.2">
      <c r="A65" s="4" t="s">
        <v>17</v>
      </c>
      <c r="B65">
        <v>1</v>
      </c>
      <c r="C65">
        <v>0.96442869171437695</v>
      </c>
      <c r="D65">
        <v>1.03744695125612</v>
      </c>
      <c r="E65">
        <v>1.04504426371966</v>
      </c>
      <c r="F65">
        <v>1.06240639110105</v>
      </c>
    </row>
    <row r="66" spans="1:6" x14ac:dyDescent="0.2">
      <c r="A66" s="4"/>
      <c r="B66">
        <v>2</v>
      </c>
      <c r="C66">
        <v>1.0334226810814899</v>
      </c>
      <c r="D66">
        <v>1.0973982817396599</v>
      </c>
      <c r="E66">
        <v>1.1002764146772701</v>
      </c>
      <c r="F66">
        <v>1.11181757047857</v>
      </c>
    </row>
    <row r="67" spans="1:6" x14ac:dyDescent="0.2">
      <c r="A67" s="4"/>
      <c r="B67">
        <v>3</v>
      </c>
      <c r="C67">
        <v>1.0975065593098401</v>
      </c>
      <c r="D67">
        <v>1.09169692679702</v>
      </c>
      <c r="E67">
        <v>1.06713742854493</v>
      </c>
      <c r="F67">
        <v>1.0782954960184701</v>
      </c>
    </row>
    <row r="68" spans="1:6" x14ac:dyDescent="0.2">
      <c r="A68" s="4"/>
      <c r="B68">
        <v>4</v>
      </c>
      <c r="C68">
        <v>1.1659503372461999</v>
      </c>
      <c r="D68">
        <v>1.18422411561134</v>
      </c>
      <c r="E68">
        <v>1.19565117959587</v>
      </c>
      <c r="F68">
        <v>1.1982278128619099</v>
      </c>
    </row>
    <row r="69" spans="1:6" x14ac:dyDescent="0.2">
      <c r="A69" s="4"/>
      <c r="B69">
        <v>5</v>
      </c>
      <c r="C69">
        <v>1.2986432618311401</v>
      </c>
      <c r="D69">
        <v>1.2088758937337101</v>
      </c>
      <c r="E69">
        <v>1.3135148112521</v>
      </c>
      <c r="F69">
        <v>1.31575826731595</v>
      </c>
    </row>
    <row r="70" spans="1:6" x14ac:dyDescent="0.2">
      <c r="A70" s="4"/>
      <c r="B70">
        <v>6</v>
      </c>
      <c r="C70">
        <v>1.3583165649240401</v>
      </c>
      <c r="D70">
        <v>1.3293589424958001</v>
      </c>
      <c r="E70">
        <v>1.4519052234955301</v>
      </c>
      <c r="F70">
        <v>1.3623189823163599</v>
      </c>
    </row>
    <row r="71" spans="1:6" x14ac:dyDescent="0.2">
      <c r="A71" t="s">
        <v>7</v>
      </c>
      <c r="C71">
        <f>PEARSON(B65:B70,C65:C70)</f>
        <v>0.9923626504004236</v>
      </c>
      <c r="D71">
        <f>PEARSON(B65:B70,D65:D70)</f>
        <v>0.95935583164608773</v>
      </c>
      <c r="E71">
        <f>PEARSON(B65:B70,E65:E70)</f>
        <v>0.93680065024204839</v>
      </c>
      <c r="F71">
        <f>PEARSON(B65:B70,F65:F70)</f>
        <v>0.94040100379787483</v>
      </c>
    </row>
  </sheetData>
  <mergeCells count="10">
    <mergeCell ref="A58:A63"/>
    <mergeCell ref="A65:A70"/>
    <mergeCell ref="A44:A49"/>
    <mergeCell ref="A51:A56"/>
    <mergeCell ref="A2:A7"/>
    <mergeCell ref="A9:A14"/>
    <mergeCell ref="A16:A21"/>
    <mergeCell ref="A23:A28"/>
    <mergeCell ref="A30:A35"/>
    <mergeCell ref="A37:A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8A87-5D7E-784E-8227-C6DB99FC7E5A}">
  <dimension ref="A1:E12"/>
  <sheetViews>
    <sheetView tabSelected="1" zoomScale="130" zoomScaleNormal="130" workbookViewId="0">
      <selection activeCell="B13" sqref="B13"/>
    </sheetView>
  </sheetViews>
  <sheetFormatPr baseColWidth="10" defaultRowHeight="15" x14ac:dyDescent="0.2"/>
  <cols>
    <col min="1" max="1" width="14.1640625" customWidth="1"/>
  </cols>
  <sheetData>
    <row r="1" spans="1:5" x14ac:dyDescent="0.2">
      <c r="A1" t="s">
        <v>15</v>
      </c>
    </row>
    <row r="2" spans="1:5" x14ac:dyDescent="0.2">
      <c r="A2" s="3" t="s">
        <v>18</v>
      </c>
      <c r="B2" s="3" t="str">
        <f>CyclomaticAverages!C1</f>
        <v>Codex</v>
      </c>
      <c r="C2" s="3" t="str">
        <f>CyclomaticAverages!D1</f>
        <v>GeminiPro</v>
      </c>
      <c r="D2" s="3" t="str">
        <f>CyclomaticAverages!E1</f>
        <v xml:space="preserve">Falcon </v>
      </c>
      <c r="E2" s="3" t="str">
        <f>CyclomaticAverages!F1</f>
        <v>Llama2</v>
      </c>
    </row>
    <row r="3" spans="1:5" x14ac:dyDescent="0.2">
      <c r="A3" s="1" t="str">
        <f>CyclomaticAverages!$A$2</f>
        <v>BLEU</v>
      </c>
      <c r="B3" s="2">
        <f>CyclomaticAverages!C8</f>
        <v>0.85774498633808605</v>
      </c>
      <c r="C3" s="2">
        <f>CyclomaticAverages!D8</f>
        <v>0.88595950079953478</v>
      </c>
      <c r="D3" s="2">
        <f>CyclomaticAverages!E8</f>
        <v>0.89886745307139826</v>
      </c>
      <c r="E3" s="2">
        <f>CyclomaticAverages!F8</f>
        <v>0.90074073290990686</v>
      </c>
    </row>
    <row r="4" spans="1:5" x14ac:dyDescent="0.2">
      <c r="A4" s="1" t="str">
        <f>CyclomaticAverages!$A$9</f>
        <v>ChrF</v>
      </c>
      <c r="B4" s="2">
        <f>CyclomaticAverages!C15</f>
        <v>0.82866777181190177</v>
      </c>
      <c r="C4" s="2">
        <f>CyclomaticAverages!D15</f>
        <v>0.7063087797377271</v>
      </c>
      <c r="D4" s="2">
        <f>CyclomaticAverages!E15</f>
        <v>0.89503614088003802</v>
      </c>
      <c r="E4" s="2">
        <f>CyclomaticAverages!F15</f>
        <v>0.87964961163624222</v>
      </c>
    </row>
    <row r="5" spans="1:5" x14ac:dyDescent="0.2">
      <c r="A5" s="1" t="str">
        <f>CyclomaticAverages!$A$16</f>
        <v>Cosine</v>
      </c>
      <c r="B5" s="2">
        <f>CyclomaticAverages!C22</f>
        <v>0.76612273010286436</v>
      </c>
      <c r="C5" s="2">
        <f>CyclomaticAverages!D22</f>
        <v>0.76096817910596204</v>
      </c>
      <c r="D5" s="2">
        <f>CyclomaticAverages!E22</f>
        <v>0.71979661811314777</v>
      </c>
      <c r="E5" s="2">
        <f>CyclomaticAverages!F22</f>
        <v>0.77060747245740224</v>
      </c>
    </row>
    <row r="6" spans="1:5" x14ac:dyDescent="0.2">
      <c r="A6" s="1" t="str">
        <f>CyclomaticAverages!$A$23</f>
        <v>Levenshtein_Char</v>
      </c>
      <c r="B6" s="2">
        <f>CyclomaticAverages!C29</f>
        <v>-0.77513665908192353</v>
      </c>
      <c r="C6" s="2">
        <f>CyclomaticAverages!D29</f>
        <v>-0.81001515396688228</v>
      </c>
      <c r="D6" s="2">
        <f>CyclomaticAverages!E29</f>
        <v>-0.83217198919490554</v>
      </c>
      <c r="E6" s="2">
        <f>CyclomaticAverages!F29</f>
        <v>-0.83434800401431497</v>
      </c>
    </row>
    <row r="7" spans="1:5" x14ac:dyDescent="0.2">
      <c r="A7" s="1" t="str">
        <f>CyclomaticAverages!$A$30</f>
        <v>Levenshtein_Word</v>
      </c>
      <c r="B7" s="2">
        <f>CyclomaticAverages!C36</f>
        <v>-0.72520387262886787</v>
      </c>
      <c r="C7" s="2">
        <f>CyclomaticAverages!D36</f>
        <v>-0.71581500084747418</v>
      </c>
      <c r="D7" s="2">
        <f>CyclomaticAverages!E36</f>
        <v>-0.90294513986173208</v>
      </c>
      <c r="E7" s="2">
        <f>CyclomaticAverages!F36</f>
        <v>-0.89601670261867372</v>
      </c>
    </row>
    <row r="8" spans="1:5" x14ac:dyDescent="0.2">
      <c r="A8" s="1" t="str">
        <f>CyclomaticAverages!$A$37</f>
        <v>Meteor</v>
      </c>
      <c r="B8" s="2">
        <f>CyclomaticAverages!C43</f>
        <v>0.81714263052032332</v>
      </c>
      <c r="C8" s="2">
        <f>CyclomaticAverages!D43</f>
        <v>0.80568896033039317</v>
      </c>
      <c r="D8" s="2">
        <f>CyclomaticAverages!E43</f>
        <v>0.81876786161630388</v>
      </c>
      <c r="E8" s="2">
        <f>CyclomaticAverages!F43</f>
        <v>0.81156353335764508</v>
      </c>
    </row>
    <row r="9" spans="1:5" x14ac:dyDescent="0.2">
      <c r="A9" s="1" t="str">
        <f>CyclomaticAverages!$A$44</f>
        <v>RougeL</v>
      </c>
      <c r="B9" s="2">
        <f>CyclomaticAverages!C50</f>
        <v>0.84833436532474904</v>
      </c>
      <c r="C9" s="2">
        <f>CyclomaticAverages!D50</f>
        <v>0.88375840430129071</v>
      </c>
      <c r="D9" s="2">
        <f>CyclomaticAverages!E50</f>
        <v>0.84768382986244317</v>
      </c>
      <c r="E9" s="2">
        <f>CyclomaticAverages!F50</f>
        <v>0.84977802376529354</v>
      </c>
    </row>
    <row r="10" spans="1:5" x14ac:dyDescent="0.2">
      <c r="A10" s="1" t="str">
        <f>CyclomaticAverages!$A$51</f>
        <v>RougeN</v>
      </c>
      <c r="B10" s="2">
        <f>CyclomaticAverages!C57</f>
        <v>0.82430156014846423</v>
      </c>
      <c r="C10" s="2">
        <f>CyclomaticAverages!D57</f>
        <v>0.8698943002531716</v>
      </c>
      <c r="D10" s="2">
        <f>CyclomaticAverages!E57</f>
        <v>0.77001609277780725</v>
      </c>
      <c r="E10" s="2">
        <f>CyclomaticAverages!F57</f>
        <v>0.79615216628375662</v>
      </c>
    </row>
    <row r="11" spans="1:5" x14ac:dyDescent="0.2">
      <c r="A11" s="1" t="str">
        <f>CyclomaticAverages!$A$58</f>
        <v>Euclidean</v>
      </c>
      <c r="B11" s="2">
        <f>CyclomaticAverages!C64</f>
        <v>-0.97948952400137312</v>
      </c>
      <c r="C11" s="2">
        <f>CyclomaticAverages!D64</f>
        <v>-0.98694266741710324</v>
      </c>
      <c r="D11" s="2">
        <f>CyclomaticAverages!E64</f>
        <v>-0.98728657590308466</v>
      </c>
      <c r="E11" s="2">
        <f>CyclomaticAverages!F64</f>
        <v>-0.98494092676234779</v>
      </c>
    </row>
    <row r="12" spans="1:5" x14ac:dyDescent="0.2">
      <c r="A12" s="1" t="str">
        <f>CyclomaticAverages!$A$65</f>
        <v>RoBERTa</v>
      </c>
      <c r="B12" s="2">
        <f>CyclomaticAverages!C71</f>
        <v>0.9923626504004236</v>
      </c>
      <c r="C12" s="2">
        <f>CyclomaticAverages!D71</f>
        <v>0.95935583164608773</v>
      </c>
      <c r="D12" s="2">
        <f>CyclomaticAverages!E71</f>
        <v>0.93680065024204839</v>
      </c>
      <c r="E12" s="2">
        <f>CyclomaticAverages!F71</f>
        <v>0.94040100379787483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CyclomaticAverages</vt:lpstr>
      <vt:lpstr>Pearson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Zhu</cp:lastModifiedBy>
  <dcterms:created xsi:type="dcterms:W3CDTF">2025-10-18T18:13:56Z</dcterms:created>
  <dcterms:modified xsi:type="dcterms:W3CDTF">2026-02-13T13:36:59Z</dcterms:modified>
</cp:coreProperties>
</file>