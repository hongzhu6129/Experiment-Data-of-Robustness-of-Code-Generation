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086BFB0C-80BE-AC44-8F0A-665DA0775336}" xr6:coauthVersionLast="47" xr6:coauthVersionMax="47" xr10:uidLastSave="{00000000-0000-0000-0000-000000000000}"/>
  <bookViews>
    <workbookView xWindow="61800" yWindow="2940" windowWidth="34720" windowHeight="20300" xr2:uid="{00000000-000D-0000-FFFF-FFFF00000000}"/>
  </bookViews>
  <sheets>
    <sheet name="Sheet1" sheetId="1" r:id="rId1"/>
  </sheets>
  <definedNames>
    <definedName name="_xlnm.Print_Area" localSheetId="0">Sheet1!$K$1:$R$32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K42" i="1"/>
  <c r="K41" i="1"/>
  <c r="K40" i="1"/>
  <c r="K39" i="1"/>
  <c r="K38" i="1"/>
  <c r="K37" i="1"/>
  <c r="K36" i="1"/>
  <c r="K35" i="1"/>
  <c r="K34" i="1"/>
  <c r="J43" i="1"/>
  <c r="J42" i="1"/>
  <c r="J41" i="1"/>
  <c r="J40" i="1"/>
  <c r="J39" i="1"/>
  <c r="J38" i="1"/>
  <c r="J37" i="1"/>
  <c r="J36" i="1"/>
  <c r="J35" i="1"/>
  <c r="J34" i="1"/>
  <c r="K33" i="1"/>
  <c r="J33" i="1"/>
  <c r="I43" i="1"/>
  <c r="H43" i="1"/>
  <c r="G43" i="1"/>
  <c r="F43" i="1"/>
  <c r="E43" i="1"/>
  <c r="D43" i="1"/>
  <c r="C43" i="1"/>
  <c r="B43" i="1"/>
  <c r="I42" i="1"/>
  <c r="I41" i="1"/>
  <c r="I40" i="1"/>
  <c r="I39" i="1"/>
  <c r="I38" i="1"/>
  <c r="I37" i="1"/>
  <c r="I36" i="1"/>
  <c r="I35" i="1"/>
  <c r="I34" i="1"/>
  <c r="I33" i="1"/>
  <c r="G42" i="1"/>
  <c r="G41" i="1"/>
  <c r="G40" i="1"/>
  <c r="G39" i="1"/>
  <c r="G38" i="1"/>
  <c r="G37" i="1"/>
  <c r="G36" i="1"/>
  <c r="G35" i="1"/>
  <c r="G34" i="1"/>
  <c r="G33" i="1"/>
  <c r="E42" i="1"/>
  <c r="E41" i="1"/>
  <c r="E40" i="1"/>
  <c r="E39" i="1"/>
  <c r="E38" i="1"/>
  <c r="E37" i="1"/>
  <c r="E36" i="1"/>
  <c r="E35" i="1"/>
  <c r="E34" i="1"/>
  <c r="E33" i="1"/>
  <c r="C42" i="1"/>
  <c r="C41" i="1"/>
  <c r="C40" i="1"/>
  <c r="C39" i="1"/>
  <c r="C38" i="1"/>
  <c r="C37" i="1"/>
  <c r="C36" i="1"/>
  <c r="C35" i="1"/>
  <c r="C34" i="1"/>
  <c r="C33" i="1"/>
  <c r="H42" i="1"/>
  <c r="H41" i="1"/>
  <c r="H40" i="1"/>
  <c r="H39" i="1"/>
  <c r="H38" i="1"/>
  <c r="H37" i="1"/>
  <c r="H36" i="1"/>
  <c r="H35" i="1"/>
  <c r="H34" i="1"/>
  <c r="H33" i="1"/>
  <c r="F42" i="1"/>
  <c r="F41" i="1"/>
  <c r="F40" i="1"/>
  <c r="F39" i="1"/>
  <c r="F38" i="1"/>
  <c r="F37" i="1"/>
  <c r="F36" i="1"/>
  <c r="F35" i="1"/>
  <c r="F34" i="1"/>
  <c r="F33" i="1"/>
  <c r="D42" i="1"/>
  <c r="D41" i="1"/>
  <c r="D40" i="1"/>
  <c r="D39" i="1"/>
  <c r="D38" i="1"/>
  <c r="D37" i="1"/>
  <c r="D36" i="1"/>
  <c r="D35" i="1"/>
  <c r="D34" i="1"/>
  <c r="D33" i="1"/>
  <c r="B42" i="1"/>
  <c r="B41" i="1"/>
  <c r="B40" i="1"/>
  <c r="B39" i="1"/>
  <c r="B38" i="1"/>
  <c r="B37" i="1"/>
  <c r="B36" i="1"/>
  <c r="B35" i="1"/>
  <c r="B34" i="1"/>
  <c r="B33" i="1"/>
</calcChain>
</file>

<file path=xl/sharedStrings.xml><?xml version="1.0" encoding="utf-8"?>
<sst xmlns="http://schemas.openxmlformats.org/spreadsheetml/2006/main" count="68" uniqueCount="25">
  <si>
    <t xml:space="preserve">RoBERTa </t>
  </si>
  <si>
    <t xml:space="preserve">Euclidean </t>
  </si>
  <si>
    <t xml:space="preserve">BLEU </t>
  </si>
  <si>
    <t xml:space="preserve">ROUGE-N </t>
  </si>
  <si>
    <t xml:space="preserve">ROUGE-L </t>
  </si>
  <si>
    <t xml:space="preserve">METEOR </t>
  </si>
  <si>
    <t xml:space="preserve">ChrF </t>
  </si>
  <si>
    <t xml:space="preserve">Levenshtein-Word </t>
  </si>
  <si>
    <t xml:space="preserve">Levenshtein-Char </t>
  </si>
  <si>
    <t>Similarity Metric</t>
  </si>
  <si>
    <t>R</t>
  </si>
  <si>
    <t>R*</t>
  </si>
  <si>
    <t>GeminiPro</t>
  </si>
  <si>
    <t>Codex</t>
  </si>
  <si>
    <t>Llama2</t>
  </si>
  <si>
    <t>Falcon</t>
  </si>
  <si>
    <t>R:FF</t>
  </si>
  <si>
    <t>R*:LS</t>
  </si>
  <si>
    <t>Model</t>
  </si>
  <si>
    <t>RoBERTa</t>
  </si>
  <si>
    <t>Euclidean</t>
  </si>
  <si>
    <t>Cosine Similarity</t>
  </si>
  <si>
    <t>Difference</t>
  </si>
  <si>
    <t>Ratio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</si>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</sst>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05732155496816"/>
          <c:y val="4.3815972913762199E-2"/>
          <c:w val="0.84000971755117715"/>
          <c:h val="0.84354341686177892"/>
        </c:manualLayout>
      </c:layout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Sheet1!$A$18:$A$21</c:f>
              <c:strCache>
                <c:ptCount val="4"/>
                <c:pt idx="0">
                  <c:v>GeminiPro</c:v>
                </c:pt>
                <c:pt idx="1">
                  <c:v>Codex</c:v>
                </c:pt>
                <c:pt idx="2">
                  <c:v>Llama2</c:v>
                </c:pt>
                <c:pt idx="3">
                  <c:v>Falcon</c:v>
                </c:pt>
              </c:strCache>
            </c:strRef>
          </c:cat>
          <c:val>
            <c:numRef>
              <c:f>Sheet1!$B$18:$B$21</c:f>
              <c:numCache>
                <c:formatCode>General</c:formatCode>
                <c:ptCount val="4"/>
                <c:pt idx="0">
                  <c:v>1.0365</c:v>
                </c:pt>
                <c:pt idx="1">
                  <c:v>1.0879000000000001</c:v>
                </c:pt>
                <c:pt idx="2">
                  <c:v>1.1944999999999999</c:v>
                </c:pt>
                <c:pt idx="3">
                  <c:v>1.2045999999999999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D-4438-92D4-B4FACE844D68}"/>
            </c:ext>
          </c:extLst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R*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6-254B-9D61-93D0F9EEAB92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76-254B-9D61-93D0F9EEAB92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6-254B-9D61-93D0F9EEAB92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76-254B-9D61-93D0F9EEAB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Sheet1!$A$18:$A$21</c:f>
              <c:strCache>
                <c:ptCount val="4"/>
                <c:pt idx="0">
                  <c:v>GeminiPro</c:v>
                </c:pt>
                <c:pt idx="1">
                  <c:v>Codex</c:v>
                </c:pt>
                <c:pt idx="2">
                  <c:v>Llama2</c:v>
                </c:pt>
                <c:pt idx="3">
                  <c:v>Falcon</c:v>
                </c:pt>
              </c:strCache>
            </c:strRef>
          </c:cat>
          <c:val>
            <c:numRef>
              <c:f>Sheet1!$C$18:$C$21</c:f>
              <c:numCache>
                <c:formatCode>General</c:formatCode>
                <c:ptCount val="4"/>
                <c:pt idx="0">
                  <c:v>1.1116999999999999</c:v>
                </c:pt>
                <c:pt idx="1">
                  <c:v>1.1432</c:v>
                </c:pt>
                <c:pt idx="2">
                  <c:v>1.2478</c:v>
                </c:pt>
                <c:pt idx="3">
                  <c:v>1.2549999999999999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D-4438-92D4-B4FACE844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845535"/>
        <c:axId val="1198846495"/>
      </c:lineChart>
      <c:catAx>
        <c:axId val="1198845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LLMs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846495"/>
        <c:crosses val="autoZero"/>
        <c:auto val="1"/>
        <c:lblAlgn val="ctr"/>
        <c:lblOffset val="100"/>
        <c:noMultiLvlLbl val="0"/>
      </c:catAx>
      <c:valAx>
        <c:axId val="119884649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RoBERTa 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845535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692717435206325"/>
          <c:y val="7.6378736864225374E-2"/>
          <c:w val="0.15413935688206573"/>
          <c:h val="0.158833372277379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6096084652689"/>
          <c:y val="4.4435467582306605E-2"/>
          <c:w val="0.83952069987685574"/>
          <c:h val="0.84133134640739082"/>
        </c:manualLayout>
      </c:layout>
      <c:lineChart>
        <c:grouping val="standar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Sheet1!$A$25:$A$28</c:f>
              <c:strCache>
                <c:ptCount val="4"/>
                <c:pt idx="0">
                  <c:v>GeminiPro</c:v>
                </c:pt>
                <c:pt idx="1">
                  <c:v>Codex</c:v>
                </c:pt>
                <c:pt idx="2">
                  <c:v>Falcon</c:v>
                </c:pt>
                <c:pt idx="3">
                  <c:v>Llama2</c:v>
                </c:pt>
              </c:strCache>
            </c:strRef>
          </c:cat>
          <c:val>
            <c:numRef>
              <c:f>Sheet1!$B$25:$B$28</c:f>
              <c:numCache>
                <c:formatCode>General</c:formatCode>
                <c:ptCount val="4"/>
                <c:pt idx="0">
                  <c:v>0.53069999999999995</c:v>
                </c:pt>
                <c:pt idx="1">
                  <c:v>0.51029999999999998</c:v>
                </c:pt>
                <c:pt idx="2">
                  <c:v>0.40649999999999997</c:v>
                </c:pt>
                <c:pt idx="3">
                  <c:v>0.40210000000000001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7-47EF-913C-01EF8195E8FF}"/>
            </c:ext>
          </c:extLst>
        </c:ser>
        <c:ser>
          <c:idx val="1"/>
          <c:order val="1"/>
          <c:tx>
            <c:strRef>
              <c:f>Sheet1!$C$24</c:f>
              <c:strCache>
                <c:ptCount val="1"/>
                <c:pt idx="0">
                  <c:v>R*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Sheet1!$A$25:$A$28</c:f>
              <c:strCache>
                <c:ptCount val="4"/>
                <c:pt idx="0">
                  <c:v>GeminiPro</c:v>
                </c:pt>
                <c:pt idx="1">
                  <c:v>Codex</c:v>
                </c:pt>
                <c:pt idx="2">
                  <c:v>Falcon</c:v>
                </c:pt>
                <c:pt idx="3">
                  <c:v>Llama2</c:v>
                </c:pt>
              </c:strCache>
            </c:strRef>
          </c:cat>
          <c:val>
            <c:numRef>
              <c:f>Sheet1!$C$25:$C$28</c:f>
              <c:numCache>
                <c:formatCode>General</c:formatCode>
                <c:ptCount val="4"/>
                <c:pt idx="0">
                  <c:v>0.49909999999999999</c:v>
                </c:pt>
                <c:pt idx="1">
                  <c:v>0.48139999999999999</c:v>
                </c:pt>
                <c:pt idx="2">
                  <c:v>0.37809999999999999</c:v>
                </c:pt>
                <c:pt idx="3">
                  <c:v>0.37480000000000002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D7-47EF-913C-01EF8195E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107295"/>
        <c:axId val="1700106815"/>
      </c:lineChart>
      <c:catAx>
        <c:axId val="170010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LLMs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06815"/>
        <c:crosses val="autoZero"/>
        <c:auto val="1"/>
        <c:lblAlgn val="ctr"/>
        <c:lblOffset val="100"/>
        <c:noMultiLvlLbl val="0"/>
      </c:catAx>
      <c:valAx>
        <c:axId val="1700106815"/>
        <c:scaling>
          <c:orientation val="minMax"/>
          <c:max val="0.60000000000000009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Euclidean 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07295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40089690775409"/>
          <c:y val="0.11179511973243297"/>
          <c:w val="0.14442200392296861"/>
          <c:h val="0.1610790471025498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392431</xdr:colOff>
      <xdr:row>1</xdr:row>
      <xdr:rowOff>9525</xdr:rowOff>
    </xdr:from>
    <xdr:to>
      <xdr:col>19</xdr:col>
      <xdr:colOff>10705</xdr:colOff>
      <xdr:row>15</xdr:row>
      <xdr:rowOff>177801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982383F-4BF0-8EF1-B7B7-8A4821E55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354875</xdr:colOff>
      <xdr:row>17</xdr:row>
      <xdr:rowOff>6985</xdr:rowOff>
    </xdr:from>
    <xdr:to>
      <xdr:col>18</xdr:col>
      <xdr:colOff>662215</xdr:colOff>
      <xdr:row>31</xdr:row>
      <xdr:rowOff>25401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E58A802-EE64-38AA-842C-4CE2A441E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abSelected="1" zoomScale="140" zoomScaleNormal="140" workbookViewId="0">
      <selection activeCell="A31" sqref="A31:K43"/>
    </sheetView>
  </sheetViews>
  <sheetFormatPr baseColWidth="10" defaultColWidth="8.83203125" defaultRowHeight="15" x14ac:dyDescent="0.2"/>
  <cols>
    <col min="1" max="1" width="15.33203125" customWidth="1"/>
  </cols>
  <sheetData>
    <row r="1" spans="1:22" x14ac:dyDescent="0.2">
      <c r="B1" t="s">
        <v>16</v>
      </c>
      <c r="C1" t="s">
        <v>17</v>
      </c>
    </row>
    <row r="2" spans="1:22" x14ac:dyDescent="0.2">
      <c r="A2" s="21" t="s">
        <v>9</v>
      </c>
      <c r="B2" s="21" t="s">
        <v>12</v>
      </c>
      <c r="C2" s="21"/>
      <c r="D2" s="21" t="s">
        <v>13</v>
      </c>
      <c r="E2" s="21"/>
      <c r="F2" s="18" t="s">
        <v>14</v>
      </c>
      <c r="G2" s="18"/>
      <c r="H2" s="21" t="s">
        <v>15</v>
      </c>
      <c r="I2" s="21"/>
      <c r="L2" s="20"/>
      <c r="M2" s="2"/>
      <c r="N2" s="2"/>
      <c r="O2" s="1"/>
      <c r="P2" s="2"/>
      <c r="R2" s="20"/>
      <c r="S2" s="2"/>
      <c r="T2" s="2"/>
      <c r="U2" s="1"/>
      <c r="V2" s="2"/>
    </row>
    <row r="3" spans="1:22" x14ac:dyDescent="0.2">
      <c r="A3" s="21"/>
      <c r="B3" s="4" t="s">
        <v>10</v>
      </c>
      <c r="C3" s="4" t="s">
        <v>11</v>
      </c>
      <c r="D3" s="4" t="s">
        <v>10</v>
      </c>
      <c r="E3" s="4" t="s">
        <v>11</v>
      </c>
      <c r="F3" s="4" t="s">
        <v>10</v>
      </c>
      <c r="G3" s="4" t="s">
        <v>11</v>
      </c>
      <c r="H3" s="4" t="s">
        <v>10</v>
      </c>
      <c r="I3" s="4" t="s">
        <v>11</v>
      </c>
      <c r="L3" s="20"/>
      <c r="R3" s="20"/>
    </row>
    <row r="4" spans="1:22" x14ac:dyDescent="0.2">
      <c r="A4" s="4" t="s">
        <v>0</v>
      </c>
      <c r="B4" s="5">
        <v>1.0365</v>
      </c>
      <c r="C4" s="5">
        <v>1.1116999999999999</v>
      </c>
      <c r="D4" s="5">
        <v>1.0879000000000001</v>
      </c>
      <c r="E4" s="5">
        <v>1.1432</v>
      </c>
      <c r="F4" s="5">
        <v>1.1944999999999999</v>
      </c>
      <c r="G4" s="5">
        <v>1.2478</v>
      </c>
      <c r="H4" s="5">
        <v>1.2045999999999999</v>
      </c>
      <c r="I4" s="5">
        <v>1.2549999999999999</v>
      </c>
    </row>
    <row r="5" spans="1:22" x14ac:dyDescent="0.2">
      <c r="A5" s="4" t="s">
        <v>1</v>
      </c>
      <c r="B5" s="6">
        <v>0.53069999999999995</v>
      </c>
      <c r="C5" s="6">
        <v>0.49909999999999999</v>
      </c>
      <c r="D5" s="6">
        <v>0.51029999999999998</v>
      </c>
      <c r="E5" s="6">
        <v>0.48139999999999999</v>
      </c>
      <c r="F5" s="6">
        <v>0.40210000000000001</v>
      </c>
      <c r="G5" s="6">
        <v>0.37480000000000002</v>
      </c>
      <c r="H5" s="6">
        <v>0.40649999999999997</v>
      </c>
      <c r="I5" s="6">
        <v>0.37809999999999999</v>
      </c>
    </row>
    <row r="6" spans="1:22" x14ac:dyDescent="0.2">
      <c r="A6" s="4" t="s">
        <v>21</v>
      </c>
      <c r="B6" s="5">
        <v>0.92910000000000004</v>
      </c>
      <c r="C6" s="5">
        <v>0.93020000000000003</v>
      </c>
      <c r="D6" s="5">
        <v>0.93010000000000004</v>
      </c>
      <c r="E6" s="5">
        <v>0.93810000000000004</v>
      </c>
      <c r="F6" s="5">
        <v>0.98009999999999997</v>
      </c>
      <c r="G6" s="5">
        <v>0.98109999999999997</v>
      </c>
      <c r="H6" s="5">
        <v>0.97030000000000005</v>
      </c>
      <c r="I6" s="5">
        <v>0.97119999999999995</v>
      </c>
    </row>
    <row r="7" spans="1:22" x14ac:dyDescent="0.2">
      <c r="A7" s="4" t="s">
        <v>2</v>
      </c>
      <c r="B7" s="5">
        <v>0.42730000000000001</v>
      </c>
      <c r="C7" s="5">
        <v>0.45650000000000002</v>
      </c>
      <c r="D7" s="5">
        <v>0.41639999999999999</v>
      </c>
      <c r="E7" s="5">
        <v>0.43880000000000002</v>
      </c>
      <c r="F7" s="5">
        <v>0.53359999999999996</v>
      </c>
      <c r="G7" s="5">
        <v>0.56279999999999997</v>
      </c>
      <c r="H7" s="5">
        <v>0.52949999999999997</v>
      </c>
      <c r="I7" s="5">
        <v>0.55830000000000002</v>
      </c>
    </row>
    <row r="8" spans="1:22" x14ac:dyDescent="0.2">
      <c r="A8" s="4" t="s">
        <v>3</v>
      </c>
      <c r="B8" s="5">
        <v>0.62239999999999995</v>
      </c>
      <c r="C8" s="5">
        <v>0.64280000000000004</v>
      </c>
      <c r="D8" s="5">
        <v>0.63539999999999996</v>
      </c>
      <c r="E8" s="5">
        <v>0.65869999999999995</v>
      </c>
      <c r="F8" s="5">
        <v>0.74139999999999995</v>
      </c>
      <c r="G8" s="5">
        <v>0.76619999999999999</v>
      </c>
      <c r="H8" s="5">
        <v>0.73809999999999998</v>
      </c>
      <c r="I8" s="5">
        <v>0.76060000000000005</v>
      </c>
    </row>
    <row r="9" spans="1:22" x14ac:dyDescent="0.2">
      <c r="A9" s="4" t="s">
        <v>4</v>
      </c>
      <c r="B9" s="5">
        <v>0.69499999999999995</v>
      </c>
      <c r="C9" s="5">
        <v>0.71299999999999997</v>
      </c>
      <c r="D9" s="5">
        <v>0.70660000000000001</v>
      </c>
      <c r="E9" s="5">
        <v>0.72350000000000003</v>
      </c>
      <c r="F9" s="5">
        <v>0.81040000000000001</v>
      </c>
      <c r="G9" s="5">
        <v>0.82769999999999999</v>
      </c>
      <c r="H9" s="5">
        <v>0.8085</v>
      </c>
      <c r="I9" s="5">
        <v>0.82420000000000004</v>
      </c>
    </row>
    <row r="10" spans="1:22" x14ac:dyDescent="0.2">
      <c r="A10" s="4" t="s">
        <v>5</v>
      </c>
      <c r="B10" s="5">
        <v>0.6552</v>
      </c>
      <c r="C10" s="5">
        <v>0.67849999999999999</v>
      </c>
      <c r="D10" s="5">
        <v>0.66920000000000002</v>
      </c>
      <c r="E10" s="5">
        <v>0.6925</v>
      </c>
      <c r="F10" s="5">
        <v>0.77529999999999999</v>
      </c>
      <c r="G10" s="5">
        <v>0.79949999999999999</v>
      </c>
      <c r="H10" s="5">
        <v>0.77180000000000004</v>
      </c>
      <c r="I10" s="5">
        <v>0.79390000000000005</v>
      </c>
    </row>
    <row r="11" spans="1:22" x14ac:dyDescent="0.2">
      <c r="A11" s="4" t="s">
        <v>6</v>
      </c>
      <c r="B11" s="5">
        <v>66.983599999999996</v>
      </c>
      <c r="C11" s="5">
        <v>68.856499999999997</v>
      </c>
      <c r="D11" s="5">
        <v>68.094700000000003</v>
      </c>
      <c r="E11" s="5">
        <v>69.850200000000001</v>
      </c>
      <c r="F11" s="5">
        <v>68.614599999999996</v>
      </c>
      <c r="G11" s="5">
        <v>70.263000000000005</v>
      </c>
      <c r="H11" s="5">
        <v>68.3506</v>
      </c>
      <c r="I11" s="5">
        <v>70.0672</v>
      </c>
    </row>
    <row r="12" spans="1:22" x14ac:dyDescent="0.2">
      <c r="A12" s="4" t="s">
        <v>7</v>
      </c>
      <c r="B12" s="5">
        <v>1.1343000000000001</v>
      </c>
      <c r="C12" s="5">
        <v>1.0233000000000001</v>
      </c>
      <c r="D12" s="5">
        <v>1.1288</v>
      </c>
      <c r="E12" s="5">
        <v>1.0150999999999999</v>
      </c>
      <c r="F12" s="5">
        <v>1.1259999999999999</v>
      </c>
      <c r="G12" s="5">
        <v>1.0096000000000001</v>
      </c>
      <c r="H12" s="5">
        <v>1.1248</v>
      </c>
      <c r="I12" s="5">
        <v>1.0550999999999999</v>
      </c>
    </row>
    <row r="13" spans="1:22" x14ac:dyDescent="0.2">
      <c r="A13" s="4" t="s">
        <v>8</v>
      </c>
      <c r="B13" s="5">
        <v>11.5151</v>
      </c>
      <c r="C13" s="5">
        <v>10.113300000000001</v>
      </c>
      <c r="D13" s="5">
        <v>10.5876</v>
      </c>
      <c r="E13" s="5">
        <v>9.49</v>
      </c>
      <c r="F13" s="5">
        <v>10.134</v>
      </c>
      <c r="G13" s="5">
        <v>9.17</v>
      </c>
      <c r="H13" s="5">
        <v>10.332000000000001</v>
      </c>
      <c r="I13" s="5">
        <v>9.3000000000000007</v>
      </c>
    </row>
    <row r="16" spans="1:22" x14ac:dyDescent="0.2">
      <c r="A16" s="18" t="s">
        <v>19</v>
      </c>
      <c r="B16" s="18"/>
      <c r="C16" s="18"/>
    </row>
    <row r="17" spans="1:11" ht="16" x14ac:dyDescent="0.2">
      <c r="A17" s="7" t="s">
        <v>18</v>
      </c>
      <c r="B17" s="7" t="s">
        <v>10</v>
      </c>
      <c r="C17" s="7" t="s">
        <v>11</v>
      </c>
    </row>
    <row r="18" spans="1:11" ht="16" x14ac:dyDescent="0.2">
      <c r="A18" s="6" t="s">
        <v>12</v>
      </c>
      <c r="B18" s="6">
        <v>1.0365</v>
      </c>
      <c r="C18" s="6">
        <v>1.1116999999999999</v>
      </c>
    </row>
    <row r="19" spans="1:11" ht="16" x14ac:dyDescent="0.2">
      <c r="A19" s="6" t="s">
        <v>13</v>
      </c>
      <c r="B19" s="6">
        <v>1.0879000000000001</v>
      </c>
      <c r="C19" s="6">
        <v>1.1432</v>
      </c>
    </row>
    <row r="20" spans="1:11" ht="16" x14ac:dyDescent="0.2">
      <c r="A20" s="6" t="s">
        <v>14</v>
      </c>
      <c r="B20" s="6">
        <v>1.1944999999999999</v>
      </c>
      <c r="C20" s="6">
        <v>1.2478</v>
      </c>
    </row>
    <row r="21" spans="1:11" ht="16" x14ac:dyDescent="0.2">
      <c r="A21" s="6" t="s">
        <v>15</v>
      </c>
      <c r="B21" s="6">
        <v>1.2045999999999999</v>
      </c>
      <c r="C21" s="6">
        <v>1.2549999999999999</v>
      </c>
    </row>
    <row r="23" spans="1:11" x14ac:dyDescent="0.2">
      <c r="A23" s="19" t="s">
        <v>20</v>
      </c>
      <c r="B23" s="19"/>
      <c r="C23" s="19"/>
    </row>
    <row r="24" spans="1:11" ht="16" x14ac:dyDescent="0.2">
      <c r="A24" s="7" t="s">
        <v>18</v>
      </c>
      <c r="B24" s="7" t="s">
        <v>10</v>
      </c>
      <c r="C24" s="7" t="s">
        <v>11</v>
      </c>
    </row>
    <row r="25" spans="1:11" ht="16" x14ac:dyDescent="0.2">
      <c r="A25" s="6" t="s">
        <v>12</v>
      </c>
      <c r="B25" s="6">
        <v>0.53069999999999995</v>
      </c>
      <c r="C25" s="6">
        <v>0.49909999999999999</v>
      </c>
      <c r="F25" s="3"/>
    </row>
    <row r="26" spans="1:11" ht="16" x14ac:dyDescent="0.2">
      <c r="A26" s="6" t="s">
        <v>13</v>
      </c>
      <c r="B26" s="6">
        <v>0.51029999999999998</v>
      </c>
      <c r="C26" s="6">
        <v>0.48139999999999999</v>
      </c>
      <c r="F26" s="3"/>
    </row>
    <row r="27" spans="1:11" ht="16" x14ac:dyDescent="0.2">
      <c r="A27" s="6" t="s">
        <v>15</v>
      </c>
      <c r="B27" s="6">
        <v>0.40649999999999997</v>
      </c>
      <c r="C27" s="6">
        <v>0.37809999999999999</v>
      </c>
      <c r="F27" s="3"/>
    </row>
    <row r="28" spans="1:11" ht="16" x14ac:dyDescent="0.2">
      <c r="A28" s="6" t="s">
        <v>14</v>
      </c>
      <c r="B28" s="6">
        <v>0.40210000000000001</v>
      </c>
      <c r="C28" s="6">
        <v>0.37480000000000002</v>
      </c>
      <c r="F28" s="3"/>
    </row>
    <row r="31" spans="1:11" x14ac:dyDescent="0.2">
      <c r="A31" s="15" t="s">
        <v>9</v>
      </c>
      <c r="B31" s="16" t="s">
        <v>12</v>
      </c>
      <c r="C31" s="16"/>
      <c r="D31" s="16" t="s">
        <v>13</v>
      </c>
      <c r="E31" s="16"/>
      <c r="F31" s="14" t="s">
        <v>14</v>
      </c>
      <c r="G31" s="14"/>
      <c r="H31" s="16" t="s">
        <v>15</v>
      </c>
      <c r="I31" s="17"/>
      <c r="J31" s="14" t="s">
        <v>24</v>
      </c>
      <c r="K31" s="14"/>
    </row>
    <row r="32" spans="1:11" x14ac:dyDescent="0.2">
      <c r="A32" s="15"/>
      <c r="B32" s="8" t="s">
        <v>22</v>
      </c>
      <c r="C32" s="8" t="s">
        <v>23</v>
      </c>
      <c r="D32" s="8" t="s">
        <v>22</v>
      </c>
      <c r="E32" s="8" t="s">
        <v>23</v>
      </c>
      <c r="F32" s="8" t="s">
        <v>22</v>
      </c>
      <c r="G32" s="8" t="s">
        <v>23</v>
      </c>
      <c r="H32" s="8" t="s">
        <v>22</v>
      </c>
      <c r="I32" s="13" t="s">
        <v>23</v>
      </c>
      <c r="J32" s="12" t="s">
        <v>22</v>
      </c>
      <c r="K32" s="12" t="s">
        <v>23</v>
      </c>
    </row>
    <row r="33" spans="1:11" x14ac:dyDescent="0.2">
      <c r="A33" s="4" t="s">
        <v>0</v>
      </c>
      <c r="B33" s="5">
        <f>ABS(C4-B4)</f>
        <v>7.5199999999999934E-2</v>
      </c>
      <c r="C33" s="5">
        <f>2*B33/(B4+C4)</f>
        <v>7.0012103156130642E-2</v>
      </c>
      <c r="D33" s="5">
        <f t="shared" ref="D33:D42" si="0">ABS(E4-D4)</f>
        <v>5.5299999999999905E-2</v>
      </c>
      <c r="E33" s="5">
        <f t="shared" ref="E33:E42" si="1">2*D33/(D4+E4)</f>
        <v>4.9571960019721126E-2</v>
      </c>
      <c r="F33" s="5">
        <f t="shared" ref="F33:F42" si="2">ABS(G4-F4)</f>
        <v>5.3300000000000125E-2</v>
      </c>
      <c r="G33" s="5">
        <f t="shared" ref="G33:G42" si="3">2*F33/(F4+G4)</f>
        <v>4.3647381566556218E-2</v>
      </c>
      <c r="H33" s="5">
        <f t="shared" ref="H33:H42" si="4">ABS(I4-H4)</f>
        <v>5.04E-2</v>
      </c>
      <c r="I33" s="9">
        <f t="shared" ref="I33:I42" si="5">2*H33/(H4+I4)</f>
        <v>4.0982273540413075E-2</v>
      </c>
      <c r="J33" s="10">
        <f>AVERAGE(B33,D33,F33,H33)</f>
        <v>5.8549999999999991E-2</v>
      </c>
      <c r="K33" s="10">
        <f>AVERAGE(C33,E33,G33,I33)</f>
        <v>5.1053429570705258E-2</v>
      </c>
    </row>
    <row r="34" spans="1:11" x14ac:dyDescent="0.2">
      <c r="A34" s="4" t="s">
        <v>1</v>
      </c>
      <c r="B34" s="5">
        <f t="shared" ref="B34:B42" si="6">ABS(C5-B5)</f>
        <v>3.1599999999999961E-2</v>
      </c>
      <c r="C34" s="5">
        <f t="shared" ref="C34:C42" si="7">2*B34/(B5+C5)</f>
        <v>6.1371140027189679E-2</v>
      </c>
      <c r="D34" s="5">
        <f t="shared" si="0"/>
        <v>2.8899999999999981E-2</v>
      </c>
      <c r="E34" s="5">
        <f t="shared" si="1"/>
        <v>5.8283755167893476E-2</v>
      </c>
      <c r="F34" s="5">
        <f t="shared" si="2"/>
        <v>2.7299999999999991E-2</v>
      </c>
      <c r="G34" s="5">
        <f t="shared" si="3"/>
        <v>7.0279315227184933E-2</v>
      </c>
      <c r="H34" s="5">
        <f t="shared" si="4"/>
        <v>2.8399999999999981E-2</v>
      </c>
      <c r="I34" s="9">
        <f t="shared" si="5"/>
        <v>7.239357634463417E-2</v>
      </c>
      <c r="J34" s="10">
        <f t="shared" ref="J34:J43" si="8">AVERAGE(B34,D34,F34,H34)</f>
        <v>2.9049999999999979E-2</v>
      </c>
      <c r="K34" s="10">
        <f t="shared" ref="K34:K43" si="9">AVERAGE(C34,E34,G34,I34)</f>
        <v>6.5581946691725568E-2</v>
      </c>
    </row>
    <row r="35" spans="1:11" x14ac:dyDescent="0.2">
      <c r="A35" s="4" t="s">
        <v>21</v>
      </c>
      <c r="B35" s="5">
        <f t="shared" si="6"/>
        <v>1.0999999999999899E-3</v>
      </c>
      <c r="C35" s="5">
        <f t="shared" si="7"/>
        <v>1.1832410046791694E-3</v>
      </c>
      <c r="D35" s="5">
        <f t="shared" si="0"/>
        <v>8.0000000000000071E-3</v>
      </c>
      <c r="E35" s="5">
        <f t="shared" si="1"/>
        <v>8.5643935338828893E-3</v>
      </c>
      <c r="F35" s="5">
        <f t="shared" si="2"/>
        <v>1.0000000000000009E-3</v>
      </c>
      <c r="G35" s="5">
        <f t="shared" si="3"/>
        <v>1.0197838058331643E-3</v>
      </c>
      <c r="H35" s="5">
        <f t="shared" si="4"/>
        <v>8.9999999999990088E-4</v>
      </c>
      <c r="I35" s="9">
        <f t="shared" si="5"/>
        <v>9.2711820757136331E-4</v>
      </c>
      <c r="J35" s="10">
        <f t="shared" si="8"/>
        <v>2.7499999999999747E-3</v>
      </c>
      <c r="K35" s="10">
        <f t="shared" si="9"/>
        <v>2.9236341379916468E-3</v>
      </c>
    </row>
    <row r="36" spans="1:11" x14ac:dyDescent="0.2">
      <c r="A36" s="4" t="s">
        <v>2</v>
      </c>
      <c r="B36" s="5">
        <f t="shared" si="6"/>
        <v>2.9200000000000004E-2</v>
      </c>
      <c r="C36" s="5">
        <f t="shared" si="7"/>
        <v>6.6078298257524329E-2</v>
      </c>
      <c r="D36" s="5">
        <f t="shared" si="0"/>
        <v>2.2400000000000031E-2</v>
      </c>
      <c r="E36" s="5">
        <f t="shared" si="1"/>
        <v>5.2385406922357415E-2</v>
      </c>
      <c r="F36" s="5">
        <f t="shared" si="2"/>
        <v>2.9200000000000004E-2</v>
      </c>
      <c r="G36" s="5">
        <f t="shared" si="3"/>
        <v>5.3265231667274725E-2</v>
      </c>
      <c r="H36" s="5">
        <f t="shared" si="4"/>
        <v>2.8800000000000048E-2</v>
      </c>
      <c r="I36" s="9">
        <f t="shared" si="5"/>
        <v>5.2950910093767317E-2</v>
      </c>
      <c r="J36" s="10">
        <f t="shared" si="8"/>
        <v>2.7400000000000022E-2</v>
      </c>
      <c r="K36" s="10">
        <f t="shared" si="9"/>
        <v>5.616996173523095E-2</v>
      </c>
    </row>
    <row r="37" spans="1:11" x14ac:dyDescent="0.2">
      <c r="A37" s="4" t="s">
        <v>3</v>
      </c>
      <c r="B37" s="5">
        <f t="shared" si="6"/>
        <v>2.0400000000000085E-2</v>
      </c>
      <c r="C37" s="5">
        <f t="shared" si="7"/>
        <v>3.2247865950047555E-2</v>
      </c>
      <c r="D37" s="5">
        <f t="shared" si="0"/>
        <v>2.3299999999999987E-2</v>
      </c>
      <c r="E37" s="5">
        <f t="shared" si="1"/>
        <v>3.6009581948844745E-2</v>
      </c>
      <c r="F37" s="5">
        <f t="shared" si="2"/>
        <v>2.4800000000000044E-2</v>
      </c>
      <c r="G37" s="5">
        <f t="shared" si="3"/>
        <v>3.289997346776339E-2</v>
      </c>
      <c r="H37" s="5">
        <f t="shared" si="4"/>
        <v>2.2500000000000075E-2</v>
      </c>
      <c r="I37" s="9">
        <f t="shared" si="5"/>
        <v>3.0026022552879263E-2</v>
      </c>
      <c r="J37" s="10">
        <f t="shared" si="8"/>
        <v>2.2750000000000048E-2</v>
      </c>
      <c r="K37" s="10">
        <f t="shared" si="9"/>
        <v>3.2795860979883733E-2</v>
      </c>
    </row>
    <row r="38" spans="1:11" x14ac:dyDescent="0.2">
      <c r="A38" s="4" t="s">
        <v>4</v>
      </c>
      <c r="B38" s="5">
        <f t="shared" si="6"/>
        <v>1.8000000000000016E-2</v>
      </c>
      <c r="C38" s="5">
        <f t="shared" si="7"/>
        <v>2.5568181818181844E-2</v>
      </c>
      <c r="D38" s="5">
        <f t="shared" si="0"/>
        <v>1.6900000000000026E-2</v>
      </c>
      <c r="E38" s="5">
        <f t="shared" si="1"/>
        <v>2.3634710859380501E-2</v>
      </c>
      <c r="F38" s="5">
        <f t="shared" si="2"/>
        <v>1.7299999999999982E-2</v>
      </c>
      <c r="G38" s="5">
        <f t="shared" si="3"/>
        <v>2.1122031622001075E-2</v>
      </c>
      <c r="H38" s="5">
        <f t="shared" si="4"/>
        <v>1.5700000000000047E-2</v>
      </c>
      <c r="I38" s="9">
        <f t="shared" si="5"/>
        <v>1.9231947081521462E-2</v>
      </c>
      <c r="J38" s="10">
        <f t="shared" si="8"/>
        <v>1.6975000000000018E-2</v>
      </c>
      <c r="K38" s="10">
        <f t="shared" si="9"/>
        <v>2.2389217845271217E-2</v>
      </c>
    </row>
    <row r="39" spans="1:11" x14ac:dyDescent="0.2">
      <c r="A39" s="4" t="s">
        <v>5</v>
      </c>
      <c r="B39" s="5">
        <f t="shared" si="6"/>
        <v>2.3299999999999987E-2</v>
      </c>
      <c r="C39" s="5">
        <f t="shared" si="7"/>
        <v>3.4940391392367084E-2</v>
      </c>
      <c r="D39" s="5">
        <f t="shared" si="0"/>
        <v>2.3299999999999987E-2</v>
      </c>
      <c r="E39" s="5">
        <f t="shared" si="1"/>
        <v>3.4221928471763217E-2</v>
      </c>
      <c r="F39" s="5">
        <f t="shared" si="2"/>
        <v>2.4199999999999999E-2</v>
      </c>
      <c r="G39" s="5">
        <f t="shared" si="3"/>
        <v>3.0734061468122936E-2</v>
      </c>
      <c r="H39" s="5">
        <f t="shared" si="4"/>
        <v>2.2100000000000009E-2</v>
      </c>
      <c r="I39" s="9">
        <f t="shared" si="5"/>
        <v>2.8230184581976122E-2</v>
      </c>
      <c r="J39" s="10">
        <f t="shared" si="8"/>
        <v>2.3224999999999996E-2</v>
      </c>
      <c r="K39" s="10">
        <f t="shared" si="9"/>
        <v>3.2031641478557339E-2</v>
      </c>
    </row>
    <row r="40" spans="1:11" x14ac:dyDescent="0.2">
      <c r="A40" s="4" t="s">
        <v>6</v>
      </c>
      <c r="B40" s="5">
        <f t="shared" si="6"/>
        <v>1.8729000000000013</v>
      </c>
      <c r="C40" s="5">
        <f t="shared" si="7"/>
        <v>2.757506803955535E-2</v>
      </c>
      <c r="D40" s="5">
        <f t="shared" si="0"/>
        <v>1.7554999999999978</v>
      </c>
      <c r="E40" s="5">
        <f t="shared" si="1"/>
        <v>2.5452191418457625E-2</v>
      </c>
      <c r="F40" s="5">
        <f t="shared" si="2"/>
        <v>1.6484000000000094</v>
      </c>
      <c r="G40" s="5">
        <f t="shared" si="3"/>
        <v>2.3738889496938448E-2</v>
      </c>
      <c r="H40" s="5">
        <f t="shared" si="4"/>
        <v>1.7165999999999997</v>
      </c>
      <c r="I40" s="9">
        <f t="shared" si="5"/>
        <v>2.4803168378633379E-2</v>
      </c>
      <c r="J40" s="10">
        <f t="shared" si="8"/>
        <v>1.7483500000000021</v>
      </c>
      <c r="K40" s="10">
        <f t="shared" si="9"/>
        <v>2.5392329333396201E-2</v>
      </c>
    </row>
    <row r="41" spans="1:11" x14ac:dyDescent="0.2">
      <c r="A41" s="4" t="s">
        <v>7</v>
      </c>
      <c r="B41" s="5">
        <f t="shared" si="6"/>
        <v>0.11099999999999999</v>
      </c>
      <c r="C41" s="5">
        <f t="shared" si="7"/>
        <v>0.10289210233592878</v>
      </c>
      <c r="D41" s="5">
        <f t="shared" si="0"/>
        <v>0.11370000000000013</v>
      </c>
      <c r="E41" s="5">
        <f t="shared" si="1"/>
        <v>0.10606838005504</v>
      </c>
      <c r="F41" s="5">
        <f t="shared" si="2"/>
        <v>0.11639999999999984</v>
      </c>
      <c r="G41" s="5">
        <f t="shared" si="3"/>
        <v>0.10900917774864191</v>
      </c>
      <c r="H41" s="5">
        <f t="shared" si="4"/>
        <v>6.9700000000000095E-2</v>
      </c>
      <c r="I41" s="9">
        <f t="shared" si="5"/>
        <v>6.3947887517776136E-2</v>
      </c>
      <c r="J41" s="10">
        <f t="shared" si="8"/>
        <v>0.10270000000000001</v>
      </c>
      <c r="K41" s="10">
        <f t="shared" si="9"/>
        <v>9.5479386914346709E-2</v>
      </c>
    </row>
    <row r="42" spans="1:11" x14ac:dyDescent="0.2">
      <c r="A42" s="4" t="s">
        <v>8</v>
      </c>
      <c r="B42" s="5">
        <f t="shared" si="6"/>
        <v>1.4017999999999997</v>
      </c>
      <c r="C42" s="5">
        <f t="shared" si="7"/>
        <v>0.12962586229217138</v>
      </c>
      <c r="D42" s="5">
        <f t="shared" si="0"/>
        <v>1.0975999999999999</v>
      </c>
      <c r="E42" s="5">
        <f t="shared" si="1"/>
        <v>0.10933577718452403</v>
      </c>
      <c r="F42" s="5">
        <f t="shared" si="2"/>
        <v>0.96400000000000041</v>
      </c>
      <c r="G42" s="5">
        <f t="shared" si="3"/>
        <v>9.9875673435557435E-2</v>
      </c>
      <c r="H42" s="5">
        <f t="shared" si="4"/>
        <v>1.032</v>
      </c>
      <c r="I42" s="9">
        <f t="shared" si="5"/>
        <v>0.10513447432762836</v>
      </c>
      <c r="J42" s="10">
        <f t="shared" si="8"/>
        <v>1.12385</v>
      </c>
      <c r="K42" s="10">
        <f t="shared" si="9"/>
        <v>0.11099294680997029</v>
      </c>
    </row>
    <row r="43" spans="1:11" x14ac:dyDescent="0.2">
      <c r="A43" s="11" t="s">
        <v>24</v>
      </c>
      <c r="B43" s="10">
        <f>AVERAGE(B33:B42)</f>
        <v>0.3584500000000001</v>
      </c>
      <c r="C43" s="10">
        <f t="shared" ref="C43:I43" si="10">AVERAGE(C33:C42)</f>
        <v>5.5149425427377573E-2</v>
      </c>
      <c r="D43" s="10">
        <f t="shared" si="10"/>
        <v>0.31448999999999983</v>
      </c>
      <c r="E43" s="10">
        <f t="shared" si="10"/>
        <v>5.0352808558186489E-2</v>
      </c>
      <c r="F43" s="10">
        <f t="shared" si="10"/>
        <v>0.29059000000000096</v>
      </c>
      <c r="G43" s="10">
        <f t="shared" si="10"/>
        <v>4.8559151950587423E-2</v>
      </c>
      <c r="H43" s="10">
        <f t="shared" si="10"/>
        <v>0.29870999999999998</v>
      </c>
      <c r="I43" s="10">
        <f t="shared" si="10"/>
        <v>4.3862756262680061E-2</v>
      </c>
      <c r="J43" s="10">
        <f t="shared" si="8"/>
        <v>0.31556000000000023</v>
      </c>
      <c r="K43" s="10">
        <f t="shared" si="9"/>
        <v>4.9481035549707883E-2</v>
      </c>
    </row>
  </sheetData>
  <mergeCells count="15">
    <mergeCell ref="A16:C16"/>
    <mergeCell ref="A23:C23"/>
    <mergeCell ref="R2:R3"/>
    <mergeCell ref="A2:A3"/>
    <mergeCell ref="D2:E2"/>
    <mergeCell ref="B2:C2"/>
    <mergeCell ref="F2:G2"/>
    <mergeCell ref="H2:I2"/>
    <mergeCell ref="L2:L3"/>
    <mergeCell ref="J31:K31"/>
    <mergeCell ref="A31:A32"/>
    <mergeCell ref="B31:C31"/>
    <mergeCell ref="D31:E31"/>
    <mergeCell ref="F31:G31"/>
    <mergeCell ref="H31:I31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Hong Zhu</cp:lastModifiedBy>
  <cp:lastPrinted>2025-10-16T09:03:48Z</cp:lastPrinted>
  <dcterms:created xsi:type="dcterms:W3CDTF">2015-06-05T18:17:20Z</dcterms:created>
  <dcterms:modified xsi:type="dcterms:W3CDTF">2026-02-13T13:30:54Z</dcterms:modified>
</cp:coreProperties>
</file>